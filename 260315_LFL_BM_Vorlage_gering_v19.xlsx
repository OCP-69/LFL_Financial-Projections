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Anleitung" sheetId="1" r:id="rId4"/>
    <sheet state="visible" name="1_Szenario" sheetId="2" r:id="rId5"/>
    <sheet state="visible" name="Szenario_Beschreibung" sheetId="3" r:id="rId6"/>
    <sheet state="visible" name="2_Inputs" sheetId="4" r:id="rId7"/>
    <sheet state="visible" name="3_Roadmap" sheetId="5" r:id="rId8"/>
    <sheet state="visible" name="4_Revenue" sheetId="6" r:id="rId9"/>
    <sheet state="visible" name="5_Costs" sheetId="7" r:id="rId10"/>
    <sheet state="visible" name="6_P&amp;L" sheetId="8" r:id="rId11"/>
    <sheet state="visible" name="7_BS_CF" sheetId="9" r:id="rId12"/>
  </sheets>
  <definedNames/>
  <calcPr/>
  <extLst>
    <ext uri="GoogleSheetsCustomDataVersion2">
      <go:sheetsCustomData xmlns:go="http://customooxmlschemas.google.com/" r:id="rId13" roundtripDataChecksum="iJDpn1f6z8ZNPMS99YFwozTTAU+J+ZnDHmndm/O0/N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
ID#AAAB1uCbHZc
Olaf Pick    (2026-03-13 08:49:00)
Source: Optifai Sales Ops Benchmark 2025, https://optif.ai/learn/questions/sales-cycle-length-benchmark/</t>
      </text>
    </comment>
    <comment authorId="0" ref="B30">
      <text>
        <t xml:space="preserve">======
ID#AAAB1uCbHZI
Olaf Pick    (2026-03-13 08:49:00)
Source: Optifai Sales Ops Benchmark 2025, https://optif.ai/learn/questions/sales-cycle-length-benchmark/</t>
      </text>
    </comment>
    <comment authorId="0" ref="B28">
      <text>
        <t xml:space="preserve">======
ID#AAAB1uCbHYo
Olaf Pick    (2026-03-13 08:49:00)
Source: Optifai Sales Ops Benchmark 2025, https://optif.ai/learn/questions/sales-cycle-length-benchmark/</t>
      </text>
    </comment>
    <comment authorId="0" ref="C28">
      <text>
        <t xml:space="preserve">======
ID#AAAB1uCbHYY
Olaf Pick    (2026-03-13 08:49:00)
Source: Marketing LTB SaaS Statistics 2025, https://marketingltb.com/blog/statistics/saas-statistics/</t>
      </text>
    </comment>
    <comment authorId="0" ref="E28">
      <text>
        <t xml:space="preserve">======
ID#AAAB1uCbHXw
Olaf Pick    (2026-03-13 08:49:00)
Source: Marketing LTB SaaS Statistics 2025, https://marketingltb.com/blog/statistics/saas-statistics/</t>
      </text>
    </comment>
    <comment authorId="0" ref="D30">
      <text>
        <t xml:space="preserve">======
ID#AAAB1uCbHXU
Olaf Pick    (2026-03-13 08:49:00)
Source: Getmonetizely SaaS Pricing Benchmarks 2025, https://www.getmonetizely.com/articles/saas-pricing-benchmark-study-2025-key-insights-from-100-companies-analyzed</t>
      </text>
    </comment>
    <comment authorId="0" ref="E30">
      <text>
        <t xml:space="preserve">======
ID#AAAB1uBySCU
Olaf Pick    (2026-03-13 08:49:00)
Source: Marketing LTB SaaS Statistics 2025, https://marketingltb.com/blog/statistics/saas-statistics/</t>
      </text>
    </comment>
  </commentList>
  <extLst>
    <ext uri="GoogleSheetsCustomDataVersion2">
      <go:sheetsCustomData xmlns:go="http://customooxmlschemas.google.com/" r:id="rId1" roundtripDataSignature="AMtx7mgDiLUFE28CVfzGLzmhHy+1Eu0i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6">
      <text>
        <t xml:space="preserve">======
ID#AAAB1uCbHaE
Olaf Pick    (2026-03-13 08:49:00)
Series B: kein Funding-Monat definiert</t>
      </text>
    </comment>
    <comment authorId="0" ref="B113">
      <text>
        <t xml:space="preserve">======
ID#AAAB1uCbHZA
Olaf Pick    (2026-03-13 08:49:00)
Pre-Seed: Einmalzahlung im Funding-Monat</t>
      </text>
    </comment>
    <comment authorId="0" ref="B114">
      <text>
        <t xml:space="preserve">======
ID#AAAB1uCbHYc
Olaf Pick    (2026-03-13 08:49:00)
Seed: Einmalzahlung im Funding-Monat</t>
      </text>
    </comment>
    <comment authorId="0" ref="B194">
      <text>
        <t xml:space="preserve">======
ID#AAAB1uCbHYM
Olaf Pick    (2026-03-13 08:49:00)
Grover Leasing: Business-Laptop ~35€/Mo</t>
      </text>
    </comment>
    <comment authorId="0" ref="B50">
      <text>
        <t xml:space="preserve">======
ID#AAAB1uCbHYA
Olaf Pick    (2026-03-13 08:49:00)
Rückgerechnet: AG-Brutto 100.000€ / 1,22 = AN-Brutto</t>
      </text>
    </comment>
    <comment authorId="0" ref="B49">
      <text>
        <t xml:space="preserve">======
ID#AAAB1uCbHXk
Olaf Pick    (2026-03-13 08:49:00)
Rückgerechnet: AG-Brutto 100.000€ / 1,22 = AN-Brutto</t>
      </text>
    </comment>
    <comment authorId="0" ref="B115">
      <text>
        <t xml:space="preserve">======
ID#AAAB1uBySEA
Olaf Pick    (2026-03-13 08:49:00)
Series A: Einmalzahlung im Funding-Monat</t>
      </text>
    </comment>
    <comment authorId="0" ref="B195">
      <text>
        <t xml:space="preserve">======
ID#AAAB1uBySD4
Olaf Pick    (2026-03-13 08:49:00)
Grover Leasing: Monitor ~15€/Mo</t>
      </text>
    </comment>
    <comment authorId="0" ref="B51">
      <text>
        <t xml:space="preserve">======
ID#AAAB1uBySDo
Olaf Pick    (2026-03-13 08:49:00)
Rückgerechnet: AG-Brutto 100.000€ / 1,22 = AN-Brutto</t>
      </text>
    </comment>
    <comment authorId="0" ref="B196">
      <text>
        <t xml:space="preserve">======
ID#AAAB1uBySCc
Olaf Pick    (2026-03-13 08:49:00)
Grover Leasing: Drucker, Tastatur, Maus, Kamera ~20€/Mo</t>
      </text>
    </comment>
    <comment authorId="0" ref="B112">
      <text>
        <t xml:space="preserve">======
ID#AAAB1uBySCY
Olaf Pick    (2026-03-13 08:49:00)
Ideation: kein Funding-RA</t>
      </text>
    </comment>
  </commentList>
  <extLst>
    <ext uri="GoogleSheetsCustomDataVersion2">
      <go:sheetsCustomData xmlns:go="http://customooxmlschemas.google.com/" r:id="rId1" roundtripDataSignature="AMtx7mgyV33n+XTRqWwSKkvbJ4b6k6WO+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M11">
      <text>
        <t xml:space="preserve">======
ID#AAAB1uCbHaM
Olaf Pick    (2026-03-13 08:49:00)
Entfällt – AG-SV/Umlagen/BG sind bereits im AG-Brutto (Spalte C) enthalten</t>
      </text>
    </comment>
    <comment authorId="0" ref="AB11">
      <text>
        <t xml:space="preserve">======
ID#AAAB1uCbHaI
Olaf Pick    (2026-03-13 08:49:00)
Entfällt – AG-SV/Umlagen/BG sind bereits im AG-Brutto (Spalte C) enthalten</t>
      </text>
    </comment>
    <comment authorId="0" ref="AP11">
      <text>
        <t xml:space="preserve">======
ID#AAAB1uCbHaA
Olaf Pick    (2026-03-13 08:49:00)
Entfällt – AG-SV/Umlagen/BG sind bereits im AG-Brutto (Spalte C) enthalten</t>
      </text>
    </comment>
    <comment authorId="0" ref="AU11">
      <text>
        <t xml:space="preserve">======
ID#AAAB1uCbHZ8
Olaf Pick    (2026-03-13 08:49:00)
Entfällt – AG-SV/Umlagen/BG sind bereits im AG-Brutto (Spalte C) enthalten</t>
      </text>
    </comment>
    <comment authorId="0" ref="D11">
      <text>
        <t xml:space="preserve">======
ID#AAAB1uCbHZ0
Olaf Pick    (2026-03-13 08:49:00)
Entfällt – AG-SV/Umlagen/BG sind bereits im AG-Brutto (Spalte C) enthalten</t>
      </text>
    </comment>
    <comment authorId="0" ref="L11">
      <text>
        <t xml:space="preserve">======
ID#AAAB1uCbHZ4
Olaf Pick    (2026-03-13 08:49:00)
Entfällt – AG-SV/Umlagen/BG sind bereits im AG-Brutto (Spalte C) enthalten</t>
      </text>
    </comment>
    <comment authorId="0" ref="O11">
      <text>
        <t xml:space="preserve">======
ID#AAAB1uCbHZw
Olaf Pick    (2026-03-13 08:49:00)
Entfällt – AG-SV/Umlagen/BG sind bereits im AG-Brutto (Spalte C) enthalten</t>
      </text>
    </comment>
    <comment authorId="0" ref="R11">
      <text>
        <t xml:space="preserve">======
ID#AAAB1uCbHZo
Olaf Pick    (2026-03-13 08:49:00)
Entfällt – AG-SV/Umlagen/BG sind bereits im AG-Brutto (Spalte C) enthalten</t>
      </text>
    </comment>
    <comment authorId="0" ref="AR11">
      <text>
        <t xml:space="preserve">======
ID#AAAB1uCbHZs
Olaf Pick    (2026-03-13 08:49:00)
Entfällt – AG-SV/Umlagen/BG sind bereits im AG-Brutto (Spalte C) enthalten</t>
      </text>
    </comment>
    <comment authorId="0" ref="S11">
      <text>
        <t xml:space="preserve">======
ID#AAAB1uCbHZg
Olaf Pick    (2026-03-13 08:49:00)
Entfällt – AG-SV/Umlagen/BG sind bereits im AG-Brutto (Spalte C) enthalten</t>
      </text>
    </comment>
    <comment authorId="0" ref="Y11">
      <text>
        <t xml:space="preserve">======
ID#AAAB1uCbHZk
Olaf Pick    (2026-03-13 08:49:00)
Entfällt – AG-SV/Umlagen/BG sind bereits im AG-Brutto (Spalte C) enthalten</t>
      </text>
    </comment>
    <comment authorId="0" ref="Z11">
      <text>
        <t xml:space="preserve">======
ID#AAAB1uCbHZY
Olaf Pick    (2026-03-13 08:49:00)
Entfällt – AG-SV/Umlagen/BG sind bereits im AG-Brutto (Spalte C) enthalten</t>
      </text>
    </comment>
    <comment authorId="0" ref="AS11">
      <text>
        <t xml:space="preserve">======
ID#AAAB1uCbHZU
Olaf Pick    (2026-03-13 08:49:00)
Entfällt – AG-SV/Umlagen/BG sind bereits im AG-Brutto (Spalte C) enthalten</t>
      </text>
    </comment>
    <comment authorId="0" ref="X11">
      <text>
        <t xml:space="preserve">======
ID#AAAB1uCbHZQ
Olaf Pick    (2026-03-13 08:49:00)
Entfällt – AG-SV/Umlagen/BG sind bereits im AG-Brutto (Spalte C) enthalten</t>
      </text>
    </comment>
    <comment authorId="0" ref="AF11">
      <text>
        <t xml:space="preserve">======
ID#AAAB1uCbHZM
Olaf Pick    (2026-03-13 08:49:00)
Entfällt – AG-SV/Umlagen/BG sind bereits im AG-Brutto (Spalte C) enthalten</t>
      </text>
    </comment>
    <comment authorId="0" ref="N11">
      <text>
        <t xml:space="preserve">======
ID#AAAB1uCbHZE
Olaf Pick    (2026-03-13 08:49:00)
Entfällt – AG-SV/Umlagen/BG sind bereits im AG-Brutto (Spalte C) enthalten</t>
      </text>
    </comment>
    <comment authorId="0" ref="P11">
      <text>
        <t xml:space="preserve">======
ID#AAAB1uCbHY8
Olaf Pick    (2026-03-13 08:49:00)
Entfällt – AG-SV/Umlagen/BG sind bereits im AG-Brutto (Spalte C) enthalten</t>
      </text>
    </comment>
    <comment authorId="0" ref="AC11">
      <text>
        <t xml:space="preserve">======
ID#AAAB1uCbHY0
Olaf Pick    (2026-03-13 08:49:00)
Entfällt – AG-SV/Umlagen/BG sind bereits im AG-Brutto (Spalte C) enthalten</t>
      </text>
    </comment>
    <comment authorId="0" ref="AG11">
      <text>
        <t xml:space="preserve">======
ID#AAAB1uCbHY4
Olaf Pick    (2026-03-13 08:49:00)
Entfällt – AG-SV/Umlagen/BG sind bereits im AG-Brutto (Spalte C) enthalten</t>
      </text>
    </comment>
    <comment authorId="0" ref="AX11">
      <text>
        <t xml:space="preserve">======
ID#AAAB1uCbHYw
Olaf Pick    (2026-03-13 08:49:00)
Entfällt – AG-SV/Umlagen/BG sind bereits im AG-Brutto (Spalte C) enthalten</t>
      </text>
    </comment>
    <comment authorId="0" ref="AA11">
      <text>
        <t xml:space="preserve">======
ID#AAAB1uCbHYs
Olaf Pick    (2026-03-13 08:49:00)
Entfällt – AG-SV/Umlagen/BG sind bereits im AG-Brutto (Spalte C) enthalten</t>
      </text>
    </comment>
    <comment authorId="0" ref="AK11">
      <text>
        <t xml:space="preserve">======
ID#AAAB1uCbHYg
Olaf Pick    (2026-03-13 08:49:00)
Entfällt – AG-SV/Umlagen/BG sind bereits im AG-Brutto (Spalte C) enthalten</t>
      </text>
    </comment>
    <comment authorId="0" ref="AN11">
      <text>
        <t xml:space="preserve">======
ID#AAAB1uCbHYk
Olaf Pick    (2026-03-13 08:49:00)
Entfällt – AG-SV/Umlagen/BG sind bereits im AG-Brutto (Spalte C) enthalten</t>
      </text>
    </comment>
    <comment authorId="0" ref="AO11">
      <text>
        <t xml:space="preserve">======
ID#AAAB1uCbHYU
Olaf Pick    (2026-03-13 08:49:00)
Entfällt – AG-SV/Umlagen/BG sind bereits im AG-Brutto (Spalte C) enthalten</t>
      </text>
    </comment>
    <comment authorId="0" ref="W11">
      <text>
        <t xml:space="preserve">======
ID#AAAB1uCbHYQ
Olaf Pick    (2026-03-13 08:49:00)
Entfällt – AG-SV/Umlagen/BG sind bereits im AG-Brutto (Spalte C) enthalten</t>
      </text>
    </comment>
    <comment authorId="0" ref="AL11">
      <text>
        <t xml:space="preserve">======
ID#AAAB1uCbHYE
Olaf Pick    (2026-03-13 08:49:00)
Entfällt – AG-SV/Umlagen/BG sind bereits im AG-Brutto (Spalte C) enthalten</t>
      </text>
    </comment>
    <comment authorId="0" ref="U11">
      <text>
        <t xml:space="preserve">======
ID#AAAB1uCbHYI
Olaf Pick    (2026-03-13 08:49:00)
Entfällt – AG-SV/Umlagen/BG sind bereits im AG-Brutto (Spalte C) enthalten</t>
      </text>
    </comment>
    <comment authorId="0" ref="AZ11">
      <text>
        <t xml:space="preserve">======
ID#AAAB1uCbHX4
Olaf Pick    (2026-03-13 08:49:00)
Entfällt – AG-SV/Umlagen/BG sind bereits im AG-Brutto (Spalte C) enthalten</t>
      </text>
    </comment>
    <comment authorId="0" ref="AY11">
      <text>
        <t xml:space="preserve">======
ID#AAAB1uCbHX8
Olaf Pick    (2026-03-13 08:49:00)
Entfällt – AG-SV/Umlagen/BG sind bereits im AG-Brutto (Spalte C) enthalten</t>
      </text>
    </comment>
    <comment authorId="0" ref="AQ11">
      <text>
        <t xml:space="preserve">======
ID#AAAB1uCbHX0
Olaf Pick    (2026-03-13 08:49:00)
Entfällt – AG-SV/Umlagen/BG sind bereits im AG-Brutto (Spalte C) enthalten</t>
      </text>
    </comment>
    <comment authorId="0" ref="AJ11">
      <text>
        <t xml:space="preserve">======
ID#AAAB1uCbHXs
Olaf Pick    (2026-03-13 08:49:00)
Entfällt – AG-SV/Umlagen/BG sind bereits im AG-Brutto (Spalte C) enthalten</t>
      </text>
    </comment>
    <comment authorId="0" ref="G11">
      <text>
        <t xml:space="preserve">======
ID#AAAB1uCbHXo
Olaf Pick    (2026-03-13 08:49:00)
Entfällt – AG-SV/Umlagen/BG sind bereits im AG-Brutto (Spalte C) enthalten</t>
      </text>
    </comment>
    <comment authorId="0" ref="AV11">
      <text>
        <t xml:space="preserve">======
ID#AAAB1uCbHXg
Olaf Pick    (2026-03-13 08:49:00)
Entfällt – AG-SV/Umlagen/BG sind bereits im AG-Brutto (Spalte C) enthalten</t>
      </text>
    </comment>
    <comment authorId="0" ref="AH11">
      <text>
        <t xml:space="preserve">======
ID#AAAB1uCbHXc
Olaf Pick    (2026-03-13 08:49:00)
Entfällt – AG-SV/Umlagen/BG sind bereits im AG-Brutto (Spalte C) enthalten</t>
      </text>
    </comment>
    <comment authorId="0" ref="K11">
      <text>
        <t xml:space="preserve">======
ID#AAAB1uCbHXY
Olaf Pick    (2026-03-13 08:49:00)
Entfällt – AG-SV/Umlagen/BG sind bereits im AG-Brutto (Spalte C) enthalten</t>
      </text>
    </comment>
    <comment authorId="0" ref="AE11">
      <text>
        <t xml:space="preserve">======
ID#AAAB1uCbHXM
Olaf Pick    (2026-03-13 08:49:00)
Entfällt – AG-SV/Umlagen/BG sind bereits im AG-Brutto (Spalte C) enthalten</t>
      </text>
    </comment>
    <comment authorId="0" ref="AI11">
      <text>
        <t xml:space="preserve">======
ID#AAAB1uCbHXQ
Olaf Pick    (2026-03-13 08:49:00)
Entfällt – AG-SV/Umlagen/BG sind bereits im AG-Brutto (Spalte C) enthalten</t>
      </text>
    </comment>
    <comment authorId="0" ref="J11">
      <text>
        <t xml:space="preserve">======
ID#AAAB1uBySEM
Olaf Pick    (2026-03-13 08:49:00)
Entfällt – AG-SV/Umlagen/BG sind bereits im AG-Brutto (Spalte C) enthalten</t>
      </text>
    </comment>
    <comment authorId="0" ref="E11">
      <text>
        <t xml:space="preserve">======
ID#AAAB1uBySEE
Olaf Pick    (2026-03-13 08:49:00)
Entfällt – AG-SV/Umlagen/BG sind bereits im AG-Brutto (Spalte C) enthalten</t>
      </text>
    </comment>
    <comment authorId="0" ref="F11">
      <text>
        <t xml:space="preserve">======
ID#AAAB1uBySEI
Olaf Pick    (2026-03-13 08:49:00)
Entfällt – AG-SV/Umlagen/BG sind bereits im AG-Brutto (Spalte C) enthalten</t>
      </text>
    </comment>
    <comment authorId="0" ref="AW11">
      <text>
        <t xml:space="preserve">======
ID#AAAB1uBySD8
Olaf Pick    (2026-03-13 08:49:00)
Entfällt – AG-SV/Umlagen/BG sind bereits im AG-Brutto (Spalte C) enthalten</t>
      </text>
    </comment>
    <comment authorId="0" ref="I11">
      <text>
        <t xml:space="preserve">======
ID#AAAB1uBySD0
Olaf Pick    (2026-03-13 08:49:00)
Entfällt – AG-SV/Umlagen/BG sind bereits im AG-Brutto (Spalte C) enthalten</t>
      </text>
    </comment>
    <comment authorId="0" ref="AD11">
      <text>
        <t xml:space="preserve">======
ID#AAAB1uBySDs
Olaf Pick    (2026-03-13 08:49:00)
Entfällt – AG-SV/Umlagen/BG sind bereits im AG-Brutto (Spalte C) enthalten</t>
      </text>
    </comment>
    <comment authorId="0" ref="C11">
      <text>
        <t xml:space="preserve">======
ID#AAAB1uBySDw
Olaf Pick    (2026-03-13 08:49:00)
Entfällt – AG-SV/Umlagen/BG sind bereits im AG-Brutto (Spalte C) enthalten</t>
      </text>
    </comment>
    <comment authorId="0" ref="M11">
      <text>
        <t xml:space="preserve">======
ID#AAAB1uBySDk
Olaf Pick    (2026-03-13 08:49:00)
Entfällt – AG-SV/Umlagen/BG sind bereits im AG-Brutto (Spalte C) enthalten</t>
      </text>
    </comment>
    <comment authorId="0" ref="BA11">
      <text>
        <t xml:space="preserve">======
ID#AAAB1uBySDg
Olaf Pick    (2026-03-13 08:49:00)
Entfällt – AG-SV/Umlagen/BG sind bereits im AG-Brutto (Spalte C) enthalten</t>
      </text>
    </comment>
    <comment authorId="0" ref="AT11">
      <text>
        <t xml:space="preserve">======
ID#AAAB1uBySDc
Olaf Pick    (2026-03-13 08:49:00)
Entfällt – AG-SV/Umlagen/BG sind bereits im AG-Brutto (Spalte C) enthalten</t>
      </text>
    </comment>
    <comment authorId="0" ref="Q11">
      <text>
        <t xml:space="preserve">======
ID#AAAB1uBySDY
Olaf Pick    (2026-03-13 08:49:00)
Entfällt – AG-SV/Umlagen/BG sind bereits im AG-Brutto (Spalte C) enthalten</t>
      </text>
    </comment>
    <comment authorId="0" ref="B11">
      <text>
        <t xml:space="preserve">======
ID#AAAB1uBySDU
Olaf Pick    (2026-03-13 08:49:00)
Entfällt – AG-SV/Umlagen/BG sind bereits im AG-Brutto (Spalte C) enthalten</t>
      </text>
    </comment>
    <comment authorId="0" ref="H11">
      <text>
        <t xml:space="preserve">======
ID#AAAB1uBySDQ
Olaf Pick    (2026-03-13 08:49:00)
Entfällt – AG-SV/Umlagen/BG sind bereits im AG-Brutto (Spalte C) enthalten</t>
      </text>
    </comment>
    <comment authorId="0" ref="V11">
      <text>
        <t xml:space="preserve">======
ID#AAAB1uBySCk
Olaf Pick    (2026-03-13 08:49:00)
Entfällt – AG-SV/Umlagen/BG sind bereits im AG-Brutto (Spalte C) enthalten</t>
      </text>
    </comment>
    <comment authorId="0" ref="T11">
      <text>
        <t xml:space="preserve">======
ID#AAAB1uBySCg
Olaf Pick    (2026-03-13 08:49:00)
Entfällt – AG-SV/Umlagen/BG sind bereits im AG-Brutto (Spalte C) enthalten</t>
      </text>
    </comment>
  </commentList>
  <extLst>
    <ext uri="GoogleSheetsCustomDataVersion2">
      <go:sheetsCustomData xmlns:go="http://customooxmlschemas.google.com/" r:id="rId1" roundtripDataSignature="AMtx7mjWmwoiOTJH5Cst9803e1tlwN1m3g=="/>
    </ext>
  </extLst>
</comments>
</file>

<file path=xl/sharedStrings.xml><?xml version="1.0" encoding="utf-8"?>
<sst xmlns="http://schemas.openxmlformats.org/spreadsheetml/2006/main" count="1566" uniqueCount="735">
  <si>
    <t>LoopForgeLab_Financial Projection Model: ANLEITUNG ZUM AUSFUELLEN DES BUSINESS MODELS</t>
  </si>
  <si>
    <t>Bearbeitungstand:</t>
  </si>
  <si>
    <t>1. SHEET-UEBERSICHT</t>
  </si>
  <si>
    <t>Sheet</t>
  </si>
  <si>
    <t>Funktion</t>
  </si>
  <si>
    <t>Editierbar?</t>
  </si>
  <si>
    <t>Abhaengigkeit</t>
  </si>
  <si>
    <t>0_Anleitung</t>
  </si>
  <si>
    <t>Diese Anleitung</t>
  </si>
  <si>
    <t>Nein</t>
  </si>
  <si>
    <t>-</t>
  </si>
  <si>
    <t>1_Szenario</t>
  </si>
  <si>
    <t>Dropdown: gering/normal/stark</t>
  </si>
  <si>
    <t>JA: nur C1</t>
  </si>
  <si>
    <t>Keine (Quelle)</t>
  </si>
  <si>
    <t>Szenario_Beschreibung</t>
  </si>
  <si>
    <t>Szenario-Auswirkungen, dynamisch</t>
  </si>
  <si>
    <t>2_Inputs</t>
  </si>
  <si>
    <t>Gehaelter, Kosten, Finanzierung, Hiring, Neukunden</t>
  </si>
  <si>
    <t>JA: blaue Zellen</t>
  </si>
  <si>
    <t>3_Roadmap</t>
  </si>
  <si>
    <t>Dashboard je Startup-Phase</t>
  </si>
  <si>
    <t>4_Rev, 5_Costs</t>
  </si>
  <si>
    <t>4_Revenue</t>
  </si>
  <si>
    <t>52-Mo Umsatz SME/Mid/Enterprise</t>
  </si>
  <si>
    <t>5_Costs</t>
  </si>
  <si>
    <t>52-Mo Kosten, 8 Kategorien, phasenabh.</t>
  </si>
  <si>
    <t>6_P&amp;L</t>
  </si>
  <si>
    <t>Gewinn- &amp; Verlustrechnung</t>
  </si>
  <si>
    <t>7_BS_CF</t>
  </si>
  <si>
    <t>Cashflow, Burn Rate, Runway</t>
  </si>
  <si>
    <t>6_P&amp;L, 2_Inputs</t>
  </si>
  <si>
    <t>2. SZENARIO EINSTELLEN (1_Szenario)</t>
  </si>
  <si>
    <t>Zelle C1</t>
  </si>
  <si>
    <t>Dropdown: gering / normal / stark</t>
  </si>
  <si>
    <t>Aendert ALLE szenarioabh. Parameter</t>
  </si>
  <si>
    <t>Zeilen 3-22</t>
  </si>
  <si>
    <t>Spalte C = aktiver Wert, E/F/G = alle 3 Szenarien</t>
  </si>
  <si>
    <t>Steuerbare Parameter:</t>
  </si>
  <si>
    <t xml:space="preserve">  Seats/Kunde SME &amp; Mid</t>
  </si>
  <si>
    <t>gering=3/8, normal=5/15, stark=10/25</t>
  </si>
  <si>
    <t xml:space="preserve">  Seat-Preis SME &amp; Mid</t>
  </si>
  <si>
    <t>250 / 350 / 450 EUR pro Monat</t>
  </si>
  <si>
    <t xml:space="preserve">  Enterprise Fee</t>
  </si>
  <si>
    <t>18k / 25k / 40k EUR pro Jahr</t>
  </si>
  <si>
    <t xml:space="preserve">  Impl.-Support</t>
  </si>
  <si>
    <t>Tagessatz, Tage/Kunde, Buchungsquote</t>
  </si>
  <si>
    <t xml:space="preserve">  Retention/Preise</t>
  </si>
  <si>
    <t>NRR, Churn, Preiserhoehung/Jahr</t>
  </si>
  <si>
    <t>3. MANUELLE EINGABEN IN 2_INPUTS</t>
  </si>
  <si>
    <t>Farbcode:</t>
  </si>
  <si>
    <t>BLAU = manuell aenderbar</t>
  </si>
  <si>
    <t>BLAU-BG = aus Szenario (NICHT aendern)</t>
  </si>
  <si>
    <t>GELB = Achtung</t>
  </si>
  <si>
    <t>Bereich</t>
  </si>
  <si>
    <t>Zeilen</t>
  </si>
  <si>
    <t>Inhalt</t>
  </si>
  <si>
    <t>Hinweis</t>
  </si>
  <si>
    <t>Allgemein</t>
  </si>
  <si>
    <t>Zeilen 2-7</t>
  </si>
  <si>
    <t>Firma, Startdatum, Waehrung, Steuersatz</t>
  </si>
  <si>
    <t>Steuersatz = gelb</t>
  </si>
  <si>
    <t>Finanzierungsrunden</t>
  </si>
  <si>
    <t>Zeilen 8-16</t>
  </si>
  <si>
    <t>Betraege &amp; Monate: Ideation bis Series A</t>
  </si>
  <si>
    <t>-&gt; Cash Flow (7_BS_CF)</t>
  </si>
  <si>
    <t>Business Angels</t>
  </si>
  <si>
    <t>17-23</t>
  </si>
  <si>
    <t>3 Platzhalter (A/B/C): Betrag + Monat</t>
  </si>
  <si>
    <t>Monat=0 -&gt; nicht aktiv</t>
  </si>
  <si>
    <t>Grants / Foerdermittel</t>
  </si>
  <si>
    <t>24-30</t>
  </si>
  <si>
    <t>Revenue-Annahmen</t>
  </si>
  <si>
    <t>32-40</t>
  </si>
  <si>
    <t>Seats, Preise, Churn, Startmonat</t>
  </si>
  <si>
    <t>Blau-BG = Auto aus Szenario!</t>
  </si>
  <si>
    <t>Impl.-Support</t>
  </si>
  <si>
    <t>42-46</t>
  </si>
  <si>
    <t>Tagessatz, Tage, Quote, Startmonat</t>
  </si>
  <si>
    <t>Gehaelter Gruender (Phasen)</t>
  </si>
  <si>
    <t>47-69</t>
  </si>
  <si>
    <t>CEO/CTO/CCO: AG-Brutto je Phase (5 Stufen)</t>
  </si>
  <si>
    <t>Ideation kann 0 EUR sein</t>
  </si>
  <si>
    <t>Gehaelter Mitarbeiter</t>
  </si>
  <si>
    <t>71-84</t>
  </si>
  <si>
    <t>AN-Brutto je Rolle + AG-Aufschlag (22%)</t>
  </si>
  <si>
    <t>Spalte C = AG-Brutto (autom.)</t>
  </si>
  <si>
    <t>Technologie</t>
  </si>
  <si>
    <t>86-91</t>
  </si>
  <si>
    <t>Cloud Hosting, AI/ML APIs, SaaS pro MA</t>
  </si>
  <si>
    <t>Blau = manuell</t>
  </si>
  <si>
    <t>SaaS Tools (Phasen)</t>
  </si>
  <si>
    <t>92-97</t>
  </si>
  <si>
    <t>SaaS-Lizenzen je Startup-Phase</t>
  </si>
  <si>
    <t>5 Phasen-Werte</t>
  </si>
  <si>
    <t>Rechtsanwalt allgemein</t>
  </si>
  <si>
    <t>99-104</t>
  </si>
  <si>
    <t>Laufende RA-Kosten je Phase</t>
  </si>
  <si>
    <t>Basis ~667 EUR/Mo (8k/Jahr)</t>
  </si>
  <si>
    <t>Rechtsanwalt Funding</t>
  </si>
  <si>
    <t>106-111</t>
  </si>
  <si>
    <t>Einmalkosten pro Funding-Runde</t>
  </si>
  <si>
    <t>Nur im Funding-Monat</t>
  </si>
  <si>
    <t>Sicherheit &amp; Compliance</t>
  </si>
  <si>
    <t>113-118</t>
  </si>
  <si>
    <t>Compliance-Kosten je Phase</t>
  </si>
  <si>
    <t>Versicherungen (Phasen)</t>
  </si>
  <si>
    <t>120-125</t>
  </si>
  <si>
    <t>D&amp;O, Haftpflicht, Cyber je Phase</t>
  </si>
  <si>
    <t>Bankgebuehren (Phasen)</t>
  </si>
  <si>
    <t>126-131</t>
  </si>
  <si>
    <t>Kontofuehrung je Phase</t>
  </si>
  <si>
    <t>Reisekosten (Phasen)</t>
  </si>
  <si>
    <t>133-139</t>
  </si>
  <si>
    <t>Basis je Phase + Zuschlag/reisendem MA</t>
  </si>
  <si>
    <t>+500 EUR/Mo pro CS+Sales MA</t>
  </si>
  <si>
    <t>Team Events (Phasen)</t>
  </si>
  <si>
    <t>141-146</t>
  </si>
  <si>
    <t>Team-Budget je Phase</t>
  </si>
  <si>
    <t>Einstellungsplan</t>
  </si>
  <si>
    <t>150-166</t>
  </si>
  <si>
    <t>Monat je Rolle (Sp.B) + Einstellen JA/NEIN (Sp.C)</t>
  </si>
  <si>
    <t>JA/NEIN Dropdown = Opt-Out</t>
  </si>
  <si>
    <t>Buero &amp; Sonstiges</t>
  </si>
  <si>
    <t>168-184</t>
  </si>
  <si>
    <t>Co-Working-Desks, Bueromiete, Ads, SEO</t>
  </si>
  <si>
    <t>Desks: Preis x CEILING(MA/2)</t>
  </si>
  <si>
    <t>NEUKUNDEN-PLAN (!)</t>
  </si>
  <si>
    <t>185-190</t>
  </si>
  <si>
    <t>MANUELL: Neukunden je Monat &amp; Groesse</t>
  </si>
  <si>
    <t>-&gt; Direkt in 4_Revenue</t>
  </si>
  <si>
    <t>4. WICHTIGE HINWEISE</t>
  </si>
  <si>
    <t>Alle Kosten in 5_Costs sind phasenabhaengig (Ideation/Pre-Seed/Seed/Series A/Series B) und werden ausschliesslich ueber 2_Inputs gesteuert. Im Costs-Blatt keine direkten Eingaben vornehmen!</t>
  </si>
  <si>
    <r>
      <rPr>
        <rFont val="Calibri"/>
        <b/>
        <color rgb="FFFFFFFF"/>
        <sz val="12.0"/>
      </rPr>
      <t xml:space="preserve">Aktives Szenario: </t>
    </r>
    <r>
      <rPr>
        <rFont val="Calibri"/>
        <b/>
        <color rgb="FFFF0000"/>
        <sz val="12.0"/>
      </rPr>
      <t>hier einstellen →</t>
    </r>
  </si>
  <si>
    <t>normal</t>
  </si>
  <si>
    <t>Gering</t>
  </si>
  <si>
    <t>Normal</t>
  </si>
  <si>
    <t>Stark</t>
  </si>
  <si>
    <t>Kategorie</t>
  </si>
  <si>
    <t>Parameter</t>
  </si>
  <si>
    <t>Aktiver Wert</t>
  </si>
  <si>
    <t>Einheit</t>
  </si>
  <si>
    <t>Markt</t>
  </si>
  <si>
    <t>Anteil Packaging</t>
  </si>
  <si>
    <t>%</t>
  </si>
  <si>
    <t>Vertrieb</t>
  </si>
  <si>
    <t>Startmonat Kunden</t>
  </si>
  <si>
    <t>Monat</t>
  </si>
  <si>
    <t>Revenue</t>
  </si>
  <si>
    <t>Impl.-Support Tagessatz (€)</t>
  </si>
  <si>
    <t>€/Tag</t>
  </si>
  <si>
    <t>Impl.-Support Tage/Kunde</t>
  </si>
  <si>
    <t>Tage</t>
  </si>
  <si>
    <t>Impl.-Support Buchungsquote</t>
  </si>
  <si>
    <t>Impl.-Support Startmonat</t>
  </si>
  <si>
    <t>Retention</t>
  </si>
  <si>
    <t>Net Revenue Retention (NRR)</t>
  </si>
  <si>
    <t>Jährliche Churn Rate</t>
  </si>
  <si>
    <t>Effizienz</t>
  </si>
  <si>
    <t>Iterations-Reduktion</t>
  </si>
  <si>
    <t>Faktor</t>
  </si>
  <si>
    <t>1,2x</t>
  </si>
  <si>
    <t>2,0x</t>
  </si>
  <si>
    <t>3,0x</t>
  </si>
  <si>
    <t>Kosten</t>
  </si>
  <si>
    <t>Onboarding-Aufwand (Std.)</t>
  </si>
  <si>
    <t>Stunden</t>
  </si>
  <si>
    <t>Personal</t>
  </si>
  <si>
    <t>externe Experten als Untersützung (FTE-Plan)
--&gt;Puffer wenn benötigt</t>
  </si>
  <si>
    <t>FTE</t>
  </si>
  <si>
    <t>Impl.-Support Umsatz/Kunde</t>
  </si>
  <si>
    <t>€/Kunde</t>
  </si>
  <si>
    <t>Seats/Kunde SME</t>
  </si>
  <si>
    <t>Seats</t>
  </si>
  <si>
    <t>Seats/Kunde Mid-Company</t>
  </si>
  <si>
    <t>Seat-Preis SME (€/Monat)</t>
  </si>
  <si>
    <t>€/Monat</t>
  </si>
  <si>
    <t>Seat-Preis Mid-Company (€/Monat)</t>
  </si>
  <si>
    <t>Enterprise Jahres-Fee (€/Jahr)</t>
  </si>
  <si>
    <t>€/Jahr</t>
  </si>
  <si>
    <t>Preiserhöhung/Jahr</t>
  </si>
  <si>
    <t>SZENARIO-BESCHREIBUNG &amp; AUSWIRKUNGSANALYSE</t>
  </si>
  <si>
    <t>1. SZENARIO-VERGLEICH: PARAMETER &amp; AUSWIRKUNGEN</t>
  </si>
  <si>
    <t>Einfluss auf</t>
  </si>
  <si>
    <t>Beschreibung</t>
  </si>
  <si>
    <t>Weniger Seats = weniger MRR je Kunde. Typisch: 3-10 User für SME.</t>
  </si>
  <si>
    <t>Seats/Kunde Mid</t>
  </si>
  <si>
    <t>Mid-Market hat 3-5x mehr Seats als SME.</t>
  </si>
  <si>
    <t>Seat-Preis SME (€/Mo)</t>
  </si>
  <si>
    <t>Revenue, Margin</t>
  </si>
  <si>
    <t>Höherer Preis = mehr Umsatz, aber auch höhere Churn-Gefahr.</t>
  </si>
  <si>
    <t>Seat-Preis Mid (€/Mo)</t>
  </si>
  <si>
    <t>Mid-Companies zahlen höhere Preise für mehr Features.</t>
  </si>
  <si>
    <t>Enterprise Fee (€/Jahr)</t>
  </si>
  <si>
    <t>Revenue, ARR</t>
  </si>
  <si>
    <t>Jahresverträge mit Custom-Pricing. Enterprise-ACV kann 47k€+ erreichen.</t>
  </si>
  <si>
    <t>Revenue, Break-Even</t>
  </si>
  <si>
    <t>Späterer Start = länger kein Revenue = höherer Burn.</t>
  </si>
  <si>
    <t>Revenue, Personal</t>
  </si>
  <si>
    <t>Mehr Tage = mehr Einmal-Revenue, aber auch mehr Personalaufwand.</t>
  </si>
  <si>
    <t>Buchungsquote</t>
  </si>
  <si>
    <t>Anteil Neukunden die Impl.-Support buchen.</t>
  </si>
  <si>
    <t>Churn Rate</t>
  </si>
  <si>
    <t>Revenue, LTV</t>
  </si>
  <si>
    <t>SME-Churn kann 15-30% p.a. erreichen, Enterprise liegt bei 5-8%.</t>
  </si>
  <si>
    <t>SaaS-Preise steigen durchschnittlich 8-12% pro Jahr (2025).</t>
  </si>
  <si>
    <t>NRR</t>
  </si>
  <si>
    <t>Best-in-class NRR: SME 110-120%, Mid 120-130%, Enterprise 130-140%.</t>
  </si>
  <si>
    <t>2. REVENUE-AUSWIRKUNG JE KUNDENSEGMENT (pro Kunde/Monat)</t>
  </si>
  <si>
    <t>KPI</t>
  </si>
  <si>
    <t>Berechnung</t>
  </si>
  <si>
    <t>MRR je SME-Kunde</t>
  </si>
  <si>
    <t>Seats/Kunde × Seat-Preis</t>
  </si>
  <si>
    <t>ARR je SME-Kunde</t>
  </si>
  <si>
    <t>MRR × 12</t>
  </si>
  <si>
    <t>MRR je Mid-Kunde</t>
  </si>
  <si>
    <t>ARR je Mid-Kunde</t>
  </si>
  <si>
    <t>Revenue je Enterprise/Monat</t>
  </si>
  <si>
    <t>Jahres-Fee / 12</t>
  </si>
  <si>
    <t>Impl.-Support je Neukunde</t>
  </si>
  <si>
    <t>€ (einmalig)</t>
  </si>
  <si>
    <t>Tagessatz × Tage (wenn gebucht)</t>
  </si>
  <si>
    <t>3. SALES CYCLE &amp; PIPELINE BENCHMARKS (Branchendaten)</t>
  </si>
  <si>
    <t>Segment</t>
  </si>
  <si>
    <t>Sales Cycle</t>
  </si>
  <si>
    <t>Close Rate</t>
  </si>
  <si>
    <t>Typischer ACV</t>
  </si>
  <si>
    <t>Quelle</t>
  </si>
  <si>
    <t>SME</t>
  </si>
  <si>
    <t>14-30 Tage</t>
  </si>
  <si>
    <t>15-25%</t>
  </si>
  <si>
    <t>&lt;15k€/Jahr</t>
  </si>
  <si>
    <t>15-30% p.a.</t>
  </si>
  <si>
    <t>Optifai 2025, Marketing LTB</t>
  </si>
  <si>
    <t>Mid-Market</t>
  </si>
  <si>
    <t>30-90 Tage</t>
  </si>
  <si>
    <t>15-100k€/Jahr</t>
  </si>
  <si>
    <t>5-15% p.a.</t>
  </si>
  <si>
    <t>Optifai 2025, DollarPocket</t>
  </si>
  <si>
    <t>Enterprise</t>
  </si>
  <si>
    <t>90-180+ Tage</t>
  </si>
  <si>
    <t>&gt;100k€/Jahr</t>
  </si>
  <si>
    <t>5-8% p.a.</t>
  </si>
  <si>
    <t>4. PIPELINE &amp; ADDRESSABLE COMPANIES</t>
  </si>
  <si>
    <t>Um die Sales-Targets zu erreichen, müssen deutlich MEHR Unternehmen angesprochen werden als Neukunden geplant sind:</t>
  </si>
  <si>
    <t>SME (Close Rate 20%)</t>
  </si>
  <si>
    <t>Mid (Close Rate 15%)</t>
  </si>
  <si>
    <t>Enterprise (Close Rate 10%)</t>
  </si>
  <si>
    <t>Formel</t>
  </si>
  <si>
    <t>Für 1 Neukunde müssen angesprochen werden:</t>
  </si>
  <si>
    <t>5 Unternehmen</t>
  </si>
  <si>
    <t>7 Unternehmen</t>
  </si>
  <si>
    <t>10 Unternehmen</t>
  </si>
  <si>
    <t>1 / Close Rate</t>
  </si>
  <si>
    <t>Ohne Berücksichtigung Awareness-Phase</t>
  </si>
  <si>
    <t>5. POTENZIELLE ENGPÄSSE &amp; RISIKEN (Shortfalls)</t>
  </si>
  <si>
    <t>Risiko</t>
  </si>
  <si>
    <t>Gering (Worst Case)</t>
  </si>
  <si>
    <t>Normal (Base Case)</t>
  </si>
  <si>
    <t>Stark (Best Case)</t>
  </si>
  <si>
    <t>Mitigierung</t>
  </si>
  <si>
    <t>Quelle / Benchmark</t>
  </si>
  <si>
    <t>Personal für Entwicklung</t>
  </si>
  <si>
    <t>Frühzeitig Key Hires planen</t>
  </si>
  <si>
    <t>Median ARR/FTE: 125k€ (Vena 2024)</t>
  </si>
  <si>
    <t>Personal für Testing/QA</t>
  </si>
  <si>
    <t>Keine dediz. QA</t>
  </si>
  <si>
    <t>Dev + QA kombiniert</t>
  </si>
  <si>
    <t>Dedizierte QA-Rolle</t>
  </si>
  <si>
    <t>Testautomatisierung investieren</t>
  </si>
  <si>
    <t>SaaS-Standard ab Series A</t>
  </si>
  <si>
    <t>Implementation &amp; Training</t>
  </si>
  <si>
    <t>Skalierbare Onboarding-Plattform</t>
  </si>
  <si>
    <t>Onboarding beeinflusst 75% der Churn</t>
  </si>
  <si>
    <t>Customer Success</t>
  </si>
  <si>
    <t>Kein CS-Team, Founder</t>
  </si>
  <si>
    <t>1 CS ab M24</t>
  </si>
  <si>
    <t>2 CS-Manager</t>
  </si>
  <si>
    <t>CS reduziert Churn um 10-35%</t>
  </si>
  <si>
    <t>Marketing LTB 2025</t>
  </si>
  <si>
    <t>Sales Cycle Überlappung</t>
  </si>
  <si>
    <t>Ent. Deals: 6-18 Mo Vorlauf</t>
  </si>
  <si>
    <t>Mid: 1-3 Mo Vorlauf</t>
  </si>
  <si>
    <t>SME: 2-4 Wochen</t>
  </si>
  <si>
    <t>Pipeline 3x Target aufbauen</t>
  </si>
  <si>
    <t>Optifai 2025 (N=687)</t>
  </si>
  <si>
    <t>Lead-to-Close Verzögerung</t>
  </si>
  <si>
    <t>Früh Marketing starten</t>
  </si>
  <si>
    <t>Sales Cycles +22% seit 2022</t>
  </si>
  <si>
    <t>Runway-Risiko</t>
  </si>
  <si>
    <t>Burn &gt;50k€/Mo, Cash &lt;12Mo</t>
  </si>
  <si>
    <t>Burn ∼100k€/Mo, Cash 18Mo</t>
  </si>
  <si>
    <t>Burn ∼150k€/Mo, Cash 24Mo+</t>
  </si>
  <si>
    <t>Bridge-Finanzierung planen</t>
  </si>
  <si>
    <t>Break-Even abhängig von Wachstum</t>
  </si>
  <si>
    <t>Pipeline-Volumen SME</t>
  </si>
  <si>
    <t>Gering: wenig Leads nötig</t>
  </si>
  <si>
    <t>Für 5 Kunden/Mo: 25 Leads</t>
  </si>
  <si>
    <t>Für 10 Kunden/Mo: 50 Leads</t>
  </si>
  <si>
    <t>Content Marketing + SEO</t>
  </si>
  <si>
    <t>SEO = 30-60% SaaS Pipeline</t>
  </si>
  <si>
    <t>Pipeline-Volumen Enterprise</t>
  </si>
  <si>
    <t>Lange Zyklen, wenig Deals</t>
  </si>
  <si>
    <t>Für 1/Quartal: 10 Prospects</t>
  </si>
  <si>
    <t>Für 2/Quartal: 20 Prospects</t>
  </si>
  <si>
    <t>Events + Account-Based Marketing</t>
  </si>
  <si>
    <t>Median B2B Cycle: 84 Tage</t>
  </si>
  <si>
    <t>6. BENCHMARKS &amp; QUELLEN</t>
  </si>
  <si>
    <t>Metrik</t>
  </si>
  <si>
    <t>Benchmark</t>
  </si>
  <si>
    <t>URL</t>
  </si>
  <si>
    <t>Sales Cycle SME</t>
  </si>
  <si>
    <t>Optifai Benchmark 2025</t>
  </si>
  <si>
    <t>https://optif.ai/learn/questions/sales-cycle-length-benchmark/</t>
  </si>
  <si>
    <t>Sales Cycle Mid-Market</t>
  </si>
  <si>
    <t>Sales Cycle Enterprise</t>
  </si>
  <si>
    <t>Close Rate B2B SaaS</t>
  </si>
  <si>
    <t>https://marketingltb.com/blog/statistics/saas-statistics/</t>
  </si>
  <si>
    <t>SME SaaS Churn p.a.</t>
  </si>
  <si>
    <t>15-30%</t>
  </si>
  <si>
    <t>Enterprise SaaS Churn p.a.</t>
  </si>
  <si>
    <t>5-8%</t>
  </si>
  <si>
    <t>SaaS Median Seat-Preis</t>
  </si>
  <si>
    <t>45€/User/Monat</t>
  </si>
  <si>
    <t>Monetizely SaaS Pricing 2025</t>
  </si>
  <si>
    <t>https://www.getmonetizely.com/articles/saas-pricing-benchmark-study-2025-key-insights-from-100-companies-analyzed</t>
  </si>
  <si>
    <t>Enterprise ACV (&lt;100 Seats)</t>
  </si>
  <si>
    <t>∼47.000€</t>
  </si>
  <si>
    <t>NRR Best-in-Class (Enterprise)</t>
  </si>
  <si>
    <t>130-140%+</t>
  </si>
  <si>
    <t>SaaS Preiserhöhung/Jahr</t>
  </si>
  <si>
    <t>8-12%</t>
  </si>
  <si>
    <t>ZENTRALE EINGABEWERTE</t>
  </si>
  <si>
    <t>Wert</t>
  </si>
  <si>
    <t>Einheit / Hinweis</t>
  </si>
  <si>
    <t>ALLGEMEIN</t>
  </si>
  <si>
    <t>Firmenname</t>
  </si>
  <si>
    <t>LoopforgeLab GmbH</t>
  </si>
  <si>
    <t>Name des Unternehmens</t>
  </si>
  <si>
    <t>Startdatum</t>
  </si>
  <si>
    <t>Beginn Projektionen</t>
  </si>
  <si>
    <t>Währung</t>
  </si>
  <si>
    <t>EUR</t>
  </si>
  <si>
    <t>Steuersatz</t>
  </si>
  <si>
    <t>KSt + GewSt (~30%)</t>
  </si>
  <si>
    <t>FINANZIERUNGSRUNDEN</t>
  </si>
  <si>
    <t>Ideation Betrag</t>
  </si>
  <si>
    <t>€</t>
  </si>
  <si>
    <t>C13 funding + GmbH Stammeinlage</t>
  </si>
  <si>
    <t>Ideation Monat</t>
  </si>
  <si>
    <t>Pre-Seed Betrag</t>
  </si>
  <si>
    <t>no funding round but Angels</t>
  </si>
  <si>
    <t>Pre-Seed Monat</t>
  </si>
  <si>
    <t>Seed Betrag</t>
  </si>
  <si>
    <t>Seed Monat</t>
  </si>
  <si>
    <t>Series A Betrag</t>
  </si>
  <si>
    <t>Series A Monat</t>
  </si>
  <si>
    <t>BUSINESS ANGELS</t>
  </si>
  <si>
    <t>Business Angel A Betrag</t>
  </si>
  <si>
    <t>Business Angel A Monat</t>
  </si>
  <si>
    <t>0 = nicht aktiv</t>
  </si>
  <si>
    <t>Business Angel B Betrag</t>
  </si>
  <si>
    <t>Business Angel B Monat</t>
  </si>
  <si>
    <t>Business Angel C Betrag</t>
  </si>
  <si>
    <t>probably 4 small Angels here</t>
  </si>
  <si>
    <t>Business Angel C Monat</t>
  </si>
  <si>
    <t>GRANTS / FÖRDERMITTEL</t>
  </si>
  <si>
    <t>Grant A Betrag</t>
  </si>
  <si>
    <t>Grant A Monat</t>
  </si>
  <si>
    <t>Grant B Betrag</t>
  </si>
  <si>
    <t>Grant B Monat</t>
  </si>
  <si>
    <t>Grant C Betrag</t>
  </si>
  <si>
    <t>Grant C Monat</t>
  </si>
  <si>
    <t>REVENUE-ANNAHMEN</t>
  </si>
  <si>
    <t>→ Szenario</t>
  </si>
  <si>
    <t>Erste zahlende Kunden Monat</t>
  </si>
  <si>
    <t>Churn Rate / Net Revenue Retention</t>
  </si>
  <si>
    <t>IMPL.-SUPPORT</t>
  </si>
  <si>
    <t>Tagessatz (€/Tag)</t>
  </si>
  <si>
    <t>Tage/Kunde</t>
  </si>
  <si>
    <t>Startmonat</t>
  </si>
  <si>
    <t>GEHÄLTER &amp; PERSONAL</t>
  </si>
  <si>
    <t>Arbeitsvertrag-Gehalt</t>
  </si>
  <si>
    <r>
      <rPr>
        <rFont val="Calibri"/>
        <b/>
        <color rgb="FF666666"/>
        <sz val="9.0"/>
      </rPr>
      <t>relevant for Business Case</t>
    </r>
    <r>
      <rPr>
        <rFont val="Calibri"/>
        <color rgb="FF666666"/>
        <sz val="9.0"/>
      </rPr>
      <t xml:space="preserve">
inkl. AG-SV, Umlagen, BG</t>
    </r>
  </si>
  <si>
    <t>Schätzung (StKl 4, GKV)</t>
  </si>
  <si>
    <t>Rolle</t>
  </si>
  <si>
    <t>AN-Brutto (€/J)</t>
  </si>
  <si>
    <t>AG-Brutto (€/J)</t>
  </si>
  <si>
    <t>AN-Netto (€/J)</t>
  </si>
  <si>
    <t>CEO (Referenz Vollgehalt)</t>
  </si>
  <si>
    <t>CTO (Referenz Vollgehalt)</t>
  </si>
  <si>
    <t>CCO (Referenz Vollgehalt)</t>
  </si>
  <si>
    <t>CEO – AG-Brutto je Phase (€/Jahr)</t>
  </si>
  <si>
    <t>AG-Brutto</t>
  </si>
  <si>
    <t>Monate</t>
  </si>
  <si>
    <t xml:space="preserve">  Ideation (M1-4)</t>
  </si>
  <si>
    <t>M1-M4</t>
  </si>
  <si>
    <t xml:space="preserve">  Pre-Seed (M5-16)</t>
  </si>
  <si>
    <t>M5-M16</t>
  </si>
  <si>
    <t xml:space="preserve">  Seed (M17-28)</t>
  </si>
  <si>
    <t>M17-M28</t>
  </si>
  <si>
    <t xml:space="preserve">  Series A (M29-40)</t>
  </si>
  <si>
    <t>M29-M40</t>
  </si>
  <si>
    <t xml:space="preserve">  Series B (M41-52)</t>
  </si>
  <si>
    <t>M41-M52</t>
  </si>
  <si>
    <t>CTO – AG-Brutto je Phase (€/Jahr)</t>
  </si>
  <si>
    <t>CCO – AG-Brutto je Phase (€/Jahr)</t>
  </si>
  <si>
    <t>Software Developer</t>
  </si>
  <si>
    <t>Junior Developer</t>
  </si>
  <si>
    <t>ML/AI Engineer</t>
  </si>
  <si>
    <t>Mechanical Engineer</t>
  </si>
  <si>
    <t>UX/UI Designer</t>
  </si>
  <si>
    <t>Customer Key Account (incl fix/var)</t>
  </si>
  <si>
    <t>Marketing Manager</t>
  </si>
  <si>
    <t>Marketing Assistant</t>
  </si>
  <si>
    <t>Office Manager</t>
  </si>
  <si>
    <t>Finance Manager</t>
  </si>
  <si>
    <t>Site Reliability Engineer (SRE)</t>
  </si>
  <si>
    <t>Gehaltserhöhung p.a.</t>
  </si>
  <si>
    <t>AG-Aufschlag (SV+Umlagen+BG)</t>
  </si>
  <si>
    <t>~22% auf AN-Brutto</t>
  </si>
  <si>
    <t>TECHNOLOGIE &amp; KOSTEN</t>
  </si>
  <si>
    <t>Bemerkungen</t>
  </si>
  <si>
    <t>Cloud Hosting Basis SME (pro Seat)</t>
  </si>
  <si>
    <t>€/Mo/Seat</t>
  </si>
  <si>
    <t>Cloudkosten je MA/Seat beim Kunden</t>
  </si>
  <si>
    <t>Siehe auch Dokument "LFL_Pricing.." Die Cloudkosten werden gegenüber dem Kunden nicht separat ausgewiesen sondern sind Teil der Kosten je Seat für den Kunden</t>
  </si>
  <si>
    <t>Cloud Hosting Basis Mid-Company (pro Seat)</t>
  </si>
  <si>
    <t>Cloud Hosting Basis Enterprise (pro Kunde)</t>
  </si>
  <si>
    <t>€/Mo/Enterprise Kunde</t>
  </si>
  <si>
    <t>Cloudkosten für 5 Seats bei Enterprisekunden</t>
  </si>
  <si>
    <t>AI/ML APIs Basis (für LFL MA) Ideation (M1-4)</t>
  </si>
  <si>
    <t>€/MA/Mo</t>
  </si>
  <si>
    <t>LLM-API-Kosten (Anthropic, OpenAI etc.) für Text-/Code-Generierung und Analyse, spezialisierte ML-Services wie Computer Vision, Speech-to-Text oder Embedding-Modelle für Vektorsuche, Infrastrukturkosten für Fine-Tuning oder RAG-Pipelines (Vektor-Datenbanken, Hosting), und Tooling-Lizenzen wie Claude Pro/Team-Subscriptions, GitHub Copilot oder ähnliches.</t>
  </si>
  <si>
    <t>AI/ML APIs Basis (für LFL MA) Pre-Seed (M5-16)</t>
  </si>
  <si>
    <t>siehe Kostenaufstellung/ Dokument Claude</t>
  </si>
  <si>
    <t xml:space="preserve"> AI/ML APIs Basis (für LFL MA)  Seed (M17-28)</t>
  </si>
  <si>
    <t xml:space="preserve"> AI/ML APIs Basis (für LFL MA) Series A (M29-40)</t>
  </si>
  <si>
    <t xml:space="preserve"> AI/ML APIs Basis Series B (für LFL MA) (M41-52)</t>
  </si>
  <si>
    <t>SaaS Tools &amp; Lizenzen (€/Mo je Phase)</t>
  </si>
  <si>
    <t>€/Mo</t>
  </si>
  <si>
    <t>Rechtsanwalt allgemein (€/Mo je Phase)</t>
  </si>
  <si>
    <t>Rechtsanwalt Funding (€ Einmalkosten je Phase)</t>
  </si>
  <si>
    <t>€ Einmal</t>
  </si>
  <si>
    <t>Source: Claude</t>
  </si>
  <si>
    <t>Steuerberater (€/Mo je Phase)</t>
  </si>
  <si>
    <t>StB Gebühren inkl. Gewerbesteuer/Umsatzsteuer etc: Pre-Seed: 5-10k; Seed: 10k: Series A: 15-30k</t>
  </si>
  <si>
    <t>Wirtschaftsprüfer (€/Mo je Phase)</t>
  </si>
  <si>
    <t>Berater (€/Mo je Phase)</t>
  </si>
  <si>
    <t>Sicherheit &amp; Compliance (€/Mo je Phase)</t>
  </si>
  <si>
    <t>Antivirus
GDPR Compliance</t>
  </si>
  <si>
    <t>Versicherungen D&amp;O/Haftpfl./Cyber (€/Mo je Phase)</t>
  </si>
  <si>
    <t>Bankgebühren (€/Mo je Phase)</t>
  </si>
  <si>
    <t>Reisekosten &amp; Weiterbildung (€/Mo je Phase)</t>
  </si>
  <si>
    <t>€/Mo Basis</t>
  </si>
  <si>
    <t xml:space="preserve">  Zuschlag pro reisendem MA (CS+Sales)</t>
  </si>
  <si>
    <t>Team Events (€/Mo je Phase)</t>
  </si>
  <si>
    <t>Payment Processing</t>
  </si>
  <si>
    <t>% vom Umsatz</t>
  </si>
  <si>
    <t>Abschreibungsdauer</t>
  </si>
  <si>
    <t>Jahre</t>
  </si>
  <si>
    <t>EINSTELLUNGSPLAN (Monat)</t>
  </si>
  <si>
    <t>Mitarbeiter wie geplant einstellen (JA)? Oder rausnehmen (Nein)?</t>
  </si>
  <si>
    <t>1. Software Developer</t>
  </si>
  <si>
    <t>JA</t>
  </si>
  <si>
    <t>2. Software Developer</t>
  </si>
  <si>
    <t xml:space="preserve"> im Arbeitsblatt 5_Costs ist die Rubrik Bürokosten (Zeile 20 bis Zeile 25) nicht richtig abgebildet. Diese muss mit dem Arbeitsblatt 2_Inputs in Verbindung gebracht werden </t>
  </si>
  <si>
    <t>1. Junior Developer</t>
  </si>
  <si>
    <t>1. ML/AI Engineer</t>
  </si>
  <si>
    <t>1. Mechanical/Domain Engineer</t>
  </si>
  <si>
    <t>1. SRE</t>
  </si>
  <si>
    <t>NEIN</t>
  </si>
  <si>
    <t>1. UX/UI Designer</t>
  </si>
  <si>
    <t>1. Key Account</t>
  </si>
  <si>
    <t>2. Key Account</t>
  </si>
  <si>
    <t>3. Key Account</t>
  </si>
  <si>
    <t>1. Marketing Assistant</t>
  </si>
  <si>
    <t>2. Marketing Assistant</t>
  </si>
  <si>
    <t>1. Marketing Manager</t>
  </si>
  <si>
    <t>1. Office Manager</t>
  </si>
  <si>
    <t>1. Customer Success</t>
  </si>
  <si>
    <t>1. Finance Manager</t>
  </si>
  <si>
    <t>HARDWARE-Renting  (€/Mo pro MA) (Grover)</t>
  </si>
  <si>
    <t xml:space="preserve">  Laptop (€/Monat)</t>
  </si>
  <si>
    <t>Preisrecherche Grover 2026</t>
  </si>
  <si>
    <t xml:space="preserve">  Monitor (€/Monat)</t>
  </si>
  <si>
    <t>Preisrecherche Grover 2027</t>
  </si>
  <si>
    <t xml:space="preserve">  Sonstiges (€/Monat)</t>
  </si>
  <si>
    <t>Preisrecherche Grover 2028</t>
  </si>
  <si>
    <t>TOTAL Hardware/MA</t>
  </si>
  <si>
    <t>€/Mo pro Mitarbeiter</t>
  </si>
  <si>
    <t>BÜRO &amp; SONSTIGES</t>
  </si>
  <si>
    <t>Co-Working Desk-Preis</t>
  </si>
  <si>
    <t>€/Desk/Mo</t>
  </si>
  <si>
    <t>Mitarbeiter pro Desk</t>
  </si>
  <si>
    <t>MA/Desk</t>
  </si>
  <si>
    <t>Büromiete ab Seed (eigenes Büro)</t>
  </si>
  <si>
    <t>Büromiete ab Series A</t>
  </si>
  <si>
    <t>Paid Ads (€/Mo je Phase)</t>
  </si>
  <si>
    <t>Content &amp; SEO (€/Mo je Phase)</t>
  </si>
  <si>
    <t>NEUKUNDEN-PLAN (manuell pro Monat &amp; Unternehmensgröße)</t>
  </si>
  <si>
    <t>Pre-Seed</t>
  </si>
  <si>
    <t>Seed</t>
  </si>
  <si>
    <t>Series A</t>
  </si>
  <si>
    <t>Series B</t>
  </si>
  <si>
    <t>Monat →</t>
  </si>
  <si>
    <t>Neue SME-Kunden</t>
  </si>
  <si>
    <t>Neue Mid-Company-Kunden</t>
  </si>
  <si>
    <t>Neue Enterprise-Kunden</t>
  </si>
  <si>
    <t>Summe Neukunden</t>
  </si>
  <si>
    <t>BUSINESS ROADMAP &amp; ÜBERSICHT</t>
  </si>
  <si>
    <t>1. PRODUKTENTWICKLUNGSPHASEN</t>
  </si>
  <si>
    <t>Phase</t>
  </si>
  <si>
    <t>Zeitraum</t>
  </si>
  <si>
    <t>Kernfeatures / Inhalte</t>
  </si>
  <si>
    <t>Meilensteine</t>
  </si>
  <si>
    <t>Bemerkungen Rene</t>
  </si>
  <si>
    <t>Bemerkungen  Mouaz</t>
  </si>
  <si>
    <t>Bemerkungen Olaf</t>
  </si>
  <si>
    <t>Ideation</t>
  </si>
  <si>
    <t>M1–M4</t>
  </si>
  <si>
    <t>MVP-Konzept, Technologie-Stack, Marktvalidierung, IP-Aufbau</t>
  </si>
  <si>
    <t>MVP-Design abgeschlossen</t>
  </si>
  <si>
    <t>M5–M16</t>
  </si>
  <si>
    <t>MVP-Entwicklung, Beta-Tests, erste Pilotkunden, DPP-Modul v1</t>
  </si>
  <si>
    <t>Erster zahlender Kunde</t>
  </si>
  <si>
    <t>DPP Modul?</t>
  </si>
  <si>
    <t>M17–M28</t>
  </si>
  <si>
    <t>Product-Market-Fit, Skalierung Vertrieb, Material-Analytics, Multi-Werk</t>
  </si>
  <si>
    <t>PMF validiert, &gt;50 Kunden</t>
  </si>
  <si>
    <t>M29–M40</t>
  </si>
  <si>
    <t>Internationale Expansion Central Europe, Enterprise-Features, API-Plattform</t>
  </si>
  <si>
    <t>ARR &gt;1M€, Profitabilitätspfad</t>
  </si>
  <si>
    <t>M41–M52</t>
  </si>
  <si>
    <t>Marktführerschaft, Konsolidierung, Premium-Analytics, AI-Plattform</t>
  </si>
  <si>
    <t>Marktführerschaft Nische</t>
  </si>
  <si>
    <t>2. INVESTITIONSZEITPUNKTE &amp; -HÖHEN</t>
  </si>
  <si>
    <t>Runde</t>
  </si>
  <si>
    <t>Betrag (€)</t>
  </si>
  <si>
    <t>Kumuliert (€)</t>
  </si>
  <si>
    <t>3. UMSATZENTWICKLUNG &amp; KUNDENGEWINNUNG (je Phase, kumuliert zum Phasenende)</t>
  </si>
  <si>
    <t>Kennzahl</t>
  </si>
  <si>
    <t>Ideation (M4)</t>
  </si>
  <si>
    <t>Pre-Seed (M16)</t>
  </si>
  <si>
    <t>Seed (M28)</t>
  </si>
  <si>
    <t>Series A (M40)</t>
  </si>
  <si>
    <t>Series B (M52)</t>
  </si>
  <si>
    <t>Neue SME-Kunden (kum.)</t>
  </si>
  <si>
    <t>Neue Mid-Company-Kunden (kum.)</t>
  </si>
  <si>
    <t>Neue Enterprise-Kunden (kum.)</t>
  </si>
  <si>
    <t>Total Active Seats (SME+Mid)</t>
  </si>
  <si>
    <t>MRR zum Phasenende (€)</t>
  </si>
  <si>
    <t>4. KOSTENPOSITIONEN NACH OBERTHEMEN (monatl. Durchschnitt je Phase)</t>
  </si>
  <si>
    <t>Kostenposition</t>
  </si>
  <si>
    <t>Technologie (IT)</t>
  </si>
  <si>
    <t>Bürokosten</t>
  </si>
  <si>
    <t>Professional Services</t>
  </si>
  <si>
    <t>Versicherung &amp; Bank</t>
  </si>
  <si>
    <t>Marketing &amp; Sales</t>
  </si>
  <si>
    <t>Sonstige Kosten</t>
  </si>
  <si>
    <t>TOTAL (Ø/Monat)</t>
  </si>
  <si>
    <t>UMSATZMODELL</t>
  </si>
  <si>
    <t>Series B not modelled yet</t>
  </si>
  <si>
    <t>`--&gt;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</si>
  <si>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</si>
  <si>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</si>
  <si>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</si>
  <si>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</si>
  <si>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</si>
  <si>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</si>
  <si>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</si>
  <si>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</si>
  <si>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</si>
  <si>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</si>
  <si>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</si>
  <si>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</si>
  <si>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</si>
  <si>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</si>
  <si>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</si>
  <si>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</si>
  <si>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</si>
  <si>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</si>
  <si>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</si>
  <si>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</si>
  <si>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</si>
  <si>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</si>
  <si>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</si>
  <si>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</si>
  <si>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</si>
  <si>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</si>
  <si>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</si>
  <si>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</si>
  <si>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</si>
  <si>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</si>
  <si>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</si>
  <si>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</si>
  <si>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</si>
  <si>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</si>
  <si>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</si>
  <si>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</si>
  <si>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</si>
  <si>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</si>
  <si>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</si>
  <si>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</si>
  <si>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</si>
  <si>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</si>
  <si>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</si>
  <si>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</si>
  <si>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</si>
  <si>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</si>
  <si>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</si>
  <si>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</si>
  <si>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</si>
  <si>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</si>
  <si>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</si>
  <si>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</si>
  <si>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Startup-Phasen</t>
  </si>
  <si>
    <t>── SME KUNDEN (Seat-Modell) ──</t>
  </si>
  <si>
    <t>Neue SME-Seats</t>
  </si>
  <si>
    <t>Churned SME-Seats</t>
  </si>
  <si>
    <t>Active SME-Seats (kum.)</t>
  </si>
  <si>
    <t>SME Seat-Preis (€/Monat)</t>
  </si>
  <si>
    <t>SME Monthly Revenue (€)</t>
  </si>
  <si>
    <t>── MID-COMPANY KUNDEN (Seat-Modell) ──</t>
  </si>
  <si>
    <t>Neue Mid-Seats</t>
  </si>
  <si>
    <t>Churned Mid-Seats</t>
  </si>
  <si>
    <t>Active Mid-Seats (kum.)</t>
  </si>
  <si>
    <t>Mid Seat-Preis (€/Monat)</t>
  </si>
  <si>
    <t>Mid Monthly Revenue (€)</t>
  </si>
  <si>
    <t>── ENTERPRISE (Jahres-Fee) ──</t>
  </si>
  <si>
    <t>Churned Enterprise</t>
  </si>
  <si>
    <t>Active Enterprise (kum.)</t>
  </si>
  <si>
    <t>Enterprise Fee/Monat (€)</t>
  </si>
  <si>
    <t>Enterprise Monthly Revenue (€)</t>
  </si>
  <si>
    <t>── TOTAL RECURRING REVENUE ──</t>
  </si>
  <si>
    <t>MRR – Monthly Recurring Revenue</t>
  </si>
  <si>
    <t>ARR – Annual Recurring Revenue</t>
  </si>
  <si>
    <t>── IMPLEMENTATION-SUPPORT ──</t>
  </si>
  <si>
    <t>Neue Kunden im Monat (gesamt)</t>
  </si>
  <si>
    <t>Impl.-Support Tage/Monat</t>
  </si>
  <si>
    <t>Impl.-Support Revenue (€/Monat)</t>
  </si>
  <si>
    <t>── TOTAL MONTHLY REVENUE ──</t>
  </si>
  <si>
    <t>Total Revenue (€/Monat)</t>
  </si>
  <si>
    <t>ARR Growth % (MoM)</t>
  </si>
  <si>
    <t>ARR Total (inkl. Impl.-Support)</t>
  </si>
  <si>
    <t>KOSTENDETAILS</t>
  </si>
  <si>
    <t>── PERSONAL ──</t>
  </si>
  <si>
    <t xml:space="preserve">  CEO</t>
  </si>
  <si>
    <t xml:space="preserve">  CTO</t>
  </si>
  <si>
    <t xml:space="preserve">  CCO</t>
  </si>
  <si>
    <t>Executives (3 Gründer)</t>
  </si>
  <si>
    <t>Mitarbeiter (Gehälter)</t>
  </si>
  <si>
    <t>Lohnnebenkosten (in AG-Brutto enthalten)</t>
  </si>
  <si>
    <t>Hardware-Renting (neue MA)</t>
  </si>
  <si>
    <t>TOTAL PERSONAL</t>
  </si>
  <si>
    <t>── TECHNOLOGIE (IT) ──</t>
  </si>
  <si>
    <t>Cloud Hosting (Basis)</t>
  </si>
  <si>
    <t>AI/ML APIs</t>
  </si>
  <si>
    <t>SaaS Tools &amp; Lizenzen</t>
  </si>
  <si>
    <t>TOTAL TECHNOLOGIE</t>
  </si>
  <si>
    <t>── BÜROKOSTEN ──</t>
  </si>
  <si>
    <t>Kosten Coworking Space</t>
  </si>
  <si>
    <t>Büromiete</t>
  </si>
  <si>
    <t>Nebenkosten &amp; Internet</t>
  </si>
  <si>
    <t>Bürobedarf</t>
  </si>
  <si>
    <t>TOTAL BÜRO</t>
  </si>
  <si>
    <t>── PROFESSIONAL SERVICES ──</t>
  </si>
  <si>
    <t>Rechtsanwalt</t>
  </si>
  <si>
    <t>Steuerberater</t>
  </si>
  <si>
    <t>Wirtschaftsprüfer</t>
  </si>
  <si>
    <t>Berater</t>
  </si>
  <si>
    <t>TOTAL PROFESSIONAL</t>
  </si>
  <si>
    <t>── VERSICHERUNG &amp; BANK ──</t>
  </si>
  <si>
    <t>Versicherungen (D&amp;O, Haftpfl., Cyber)</t>
  </si>
  <si>
    <t>Bankgebühren</t>
  </si>
  <si>
    <t>TOTAL VERSICHERUNG &amp; BANK</t>
  </si>
  <si>
    <t>── MARKETING &amp; SALES ──</t>
  </si>
  <si>
    <t>Paid Ads &amp; Content/SEO</t>
  </si>
  <si>
    <t>Events &amp; Messen</t>
  </si>
  <si>
    <t>Sales Tools &amp; Provisionen</t>
  </si>
  <si>
    <t>TOTAL MARKETING &amp; SALES</t>
  </si>
  <si>
    <t>── SONSTIGE KOSTEN ──</t>
  </si>
  <si>
    <t>Reisekosten &amp; Weiterbildung</t>
  </si>
  <si>
    <t>Team Events</t>
  </si>
  <si>
    <t>Puffer/Unvorhergesehenes</t>
  </si>
  <si>
    <t>TOTAL SONSTIGE</t>
  </si>
  <si>
    <t>── PAYMENT PROCESSING ──</t>
  </si>
  <si>
    <t>Payment Processing Fees</t>
  </si>
  <si>
    <t>TOTAL PAYMENT</t>
  </si>
  <si>
    <t>TOTAL KOSTEN (exkl. COGS)</t>
  </si>
  <si>
    <t xml:space="preserve"> Cloud Hosting Basis ist eine Fee, die jeden Monat anfällt. Cloud Pro Seat ist eine zusätzliche Fee, die abhängig ist von den verkauften Seats im jeweiligen Monat. Somit ist also die Cloud Fee </t>
  </si>
  <si>
    <t>GEWINN- UND VERLUSTRECHNUNG (P&amp;L)</t>
  </si>
  <si>
    <t>Startup-Phase</t>
  </si>
  <si>
    <t>Position</t>
  </si>
  <si>
    <t>REVENUE</t>
  </si>
  <si>
    <t>Seat Revenue (SME + Mid)</t>
  </si>
  <si>
    <t>Enterprise Revenue (Jahres-Fee)</t>
  </si>
  <si>
    <t>Implementation Support Revenue</t>
  </si>
  <si>
    <t>TOTAL REVENUE</t>
  </si>
  <si>
    <t>COST OF GOODS SOLD (COGS)</t>
  </si>
  <si>
    <t>Cloud Hosting (variable)</t>
  </si>
  <si>
    <t>AI/ML API Kosten</t>
  </si>
  <si>
    <t>TOTAL COGS</t>
  </si>
  <si>
    <t>GROSS PROFIT</t>
  </si>
  <si>
    <t>Gross Margin %</t>
  </si>
  <si>
    <t>OPERATING EXPENSES</t>
  </si>
  <si>
    <t>Total Personnel</t>
  </si>
  <si>
    <t>Total Technology</t>
  </si>
  <si>
    <t>Total Office</t>
  </si>
  <si>
    <t>Total Professional Services</t>
  </si>
  <si>
    <t>Total Insurance &amp; Bank</t>
  </si>
  <si>
    <t>Total Marketing &amp; Sales</t>
  </si>
  <si>
    <t>Total Other OpEx</t>
  </si>
  <si>
    <t>TOTAL OPERATING EXPENSES</t>
  </si>
  <si>
    <t>EBITDA</t>
  </si>
  <si>
    <t>EBITDA Margin %</t>
  </si>
  <si>
    <t>EBIT (Operating Income)</t>
  </si>
  <si>
    <t>EBT (Earnings Before Tax)</t>
  </si>
  <si>
    <t>Income Tax</t>
  </si>
  <si>
    <t>NET INCOME</t>
  </si>
  <si>
    <t>Net Margin %</t>
  </si>
  <si>
    <t>BILANZ &amp; CASH FLOW</t>
  </si>
  <si>
    <t>── CASH FLOW ──</t>
  </si>
  <si>
    <t>Net Income</t>
  </si>
  <si>
    <t>Changes in Working Capital</t>
  </si>
  <si>
    <t>Net Cash from Operations</t>
  </si>
  <si>
    <t>Equity Funding Received</t>
  </si>
  <si>
    <t>Net Cash from Financing</t>
  </si>
  <si>
    <t>NET CHANGE IN CASH</t>
  </si>
  <si>
    <t>Beginning Cash Balance</t>
  </si>
  <si>
    <t>ENDING CASH BALANCE</t>
  </si>
  <si>
    <t>── KEY METRICS ──</t>
  </si>
  <si>
    <t>Monthly Burn Rate</t>
  </si>
  <si>
    <t>Runway (Months)</t>
  </si>
  <si>
    <t>Cash Runway Alert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</si>
</sst>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0\ &quot;€&quot;"/>
    <numFmt numFmtId="166" formatCode="&quot;M&quot;0"/>
    <numFmt numFmtId="167" formatCode="0.0%"/>
    <numFmt numFmtId="168" formatCode="#,##0.0"/>
    <numFmt numFmtId="169" formatCode="#,##0;\(#,##0\)"/>
    <numFmt numFmtId="170" formatCode="0.0"/>
  </numFmts>
  <fonts count="34">
    <font>
      <sz val="11.0"/>
      <color theme="1"/>
      <name val="Calibri"/>
      <scheme val="minor"/>
    </font>
    <font>
      <b/>
      <sz val="14.0"/>
      <color theme="1"/>
      <name val="Calibri"/>
    </font>
    <font>
      <sz val="11.0"/>
      <color theme="1"/>
      <name val="Calibri"/>
    </font>
    <font>
      <b/>
      <sz val="11.0"/>
      <color theme="1"/>
      <name val="Calibri"/>
    </font>
    <font>
      <b/>
      <sz val="12.0"/>
      <color theme="1"/>
      <name val="Calibri"/>
    </font>
    <font>
      <b/>
      <sz val="14.0"/>
      <color rgb="FFFFFFFF"/>
      <name val="Calibri"/>
    </font>
    <font>
      <b/>
      <sz val="12.0"/>
      <color rgb="FFFFFFFF"/>
      <name val="Calibri"/>
    </font>
    <font>
      <b/>
      <sz val="10.0"/>
      <color rgb="FFFFFFFF"/>
      <name val="Calibri"/>
    </font>
    <font>
      <b/>
      <sz val="10.0"/>
      <color theme="1"/>
      <name val="Calibri"/>
    </font>
    <font>
      <b/>
      <sz val="9.0"/>
      <color theme="1"/>
      <name val="Calibri"/>
    </font>
    <font>
      <sz val="9.0"/>
      <color rgb="FF666666"/>
      <name val="Calibri"/>
    </font>
    <font>
      <i/>
      <sz val="11.0"/>
      <color theme="1"/>
      <name val="Calibri"/>
    </font>
    <font>
      <b/>
      <i/>
      <sz val="11.0"/>
      <color theme="1"/>
      <name val="Calibri"/>
    </font>
    <font>
      <b/>
      <sz val="9.0"/>
      <color rgb="FF000000"/>
      <name val="Calibri"/>
    </font>
    <font>
      <sz val="11.0"/>
      <color rgb="FF000000"/>
      <name val="Calibri"/>
    </font>
    <font>
      <b/>
      <sz val="11.0"/>
      <color rgb="FF000000"/>
      <name val="Calibri"/>
    </font>
    <font>
      <b/>
      <sz val="16.0"/>
      <color rgb="FFFFFFFF"/>
      <name val="Calibri"/>
    </font>
    <font>
      <b/>
      <sz val="13.0"/>
      <color rgb="FFFFFFFF"/>
      <name val="Calibri"/>
    </font>
    <font>
      <b/>
      <sz val="11.0"/>
      <color rgb="FFFFFFFF"/>
      <name val="Calibri"/>
    </font>
    <font>
      <sz val="11.0"/>
      <color rgb="FF0000FF"/>
      <name val="Calibri"/>
    </font>
    <font>
      <b/>
      <sz val="11.0"/>
      <color rgb="FF0000FF"/>
      <name val="Calibri"/>
    </font>
    <font>
      <sz val="9.0"/>
      <color rgb="FF008000"/>
      <name val="Calibri"/>
    </font>
    <font>
      <sz val="11.0"/>
      <color rgb="FF808080"/>
      <name val="Calibri"/>
    </font>
    <font>
      <sz val="11.0"/>
      <color rgb="FF666666"/>
      <name val="Calibri"/>
    </font>
    <font>
      <sz val="8.0"/>
      <color theme="1"/>
      <name val="Calibri"/>
    </font>
    <font>
      <b/>
      <sz val="9.0"/>
      <color rgb="FF666666"/>
      <name val="Calibri"/>
    </font>
    <font>
      <b/>
      <sz val="11.0"/>
      <color theme="0"/>
      <name val="Calibri"/>
    </font>
    <font>
      <sz val="11.0"/>
      <color theme="0"/>
      <name val="Calibri"/>
    </font>
    <font>
      <color theme="1"/>
      <name val="Calibri"/>
      <scheme val="minor"/>
    </font>
    <font>
      <color rgb="FFFFFFFF"/>
      <name val="Calibri"/>
      <scheme val="minor"/>
    </font>
    <font>
      <b/>
      <sz val="10.0"/>
      <color rgb="FF000000"/>
      <name val="Calibri"/>
    </font>
    <font>
      <sz val="10.0"/>
      <color theme="1"/>
      <name val="Calibri"/>
    </font>
    <font>
      <b/>
      <sz val="9.0"/>
      <color rgb="FFFFFFFF"/>
      <name val="Calibri"/>
    </font>
    <font>
      <b/>
      <sz val="12.0"/>
      <color rgb="FF000000"/>
      <name val="Calibri"/>
    </font>
  </fonts>
  <fills count="30">
    <fill>
      <patternFill patternType="none"/>
    </fill>
    <fill>
      <patternFill patternType="lightGray"/>
    </fill>
    <fill>
      <patternFill patternType="solid">
        <fgColor rgb="FFD8D8D8"/>
        <bgColor rgb="FFD8D8D8"/>
      </patternFill>
    </fill>
    <fill>
      <patternFill patternType="solid">
        <fgColor rgb="FFE5B8B7"/>
        <bgColor rgb="FFE5B8B7"/>
      </patternFill>
    </fill>
    <fill>
      <patternFill patternType="solid">
        <fgColor rgb="FFD9D9D9"/>
        <bgColor rgb="FFD9D9D9"/>
      </patternFill>
    </fill>
    <fill>
      <patternFill patternType="solid">
        <fgColor rgb="FFD9E2F3"/>
        <bgColor rgb="FFD9E2F3"/>
      </patternFill>
    </fill>
    <fill>
      <patternFill patternType="solid">
        <fgColor rgb="FF1F3864"/>
        <bgColor rgb="FF1F3864"/>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C00000"/>
        <bgColor rgb="FFC00000"/>
      </patternFill>
    </fill>
    <fill>
      <patternFill patternType="solid">
        <fgColor rgb="FFD6E4F0"/>
        <bgColor rgb="FFD6E4F0"/>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1F6B75"/>
        <bgColor rgb="FF1F6B75"/>
      </patternFill>
    </fill>
    <fill>
      <patternFill patternType="solid">
        <fgColor rgb="FFFF9999"/>
        <bgColor rgb="FFFF9999"/>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BDD7EE"/>
        <bgColor rgb="FFBDD7EE"/>
      </patternFill>
    </fill>
    <fill>
      <patternFill patternType="solid">
        <fgColor rgb="FFF9CB9C"/>
        <bgColor rgb="FFF9CB9C"/>
      </patternFill>
    </fill>
    <fill>
      <patternFill patternType="solid">
        <fgColor rgb="FFE06666"/>
        <bgColor rgb="FFE06666"/>
      </patternFill>
    </fill>
    <fill>
      <patternFill patternType="solid">
        <fgColor rgb="FFB6D7A8"/>
        <bgColor rgb="FFB6D7A8"/>
      </patternFill>
    </fill>
    <fill>
      <patternFill patternType="solid">
        <fgColor rgb="FFDAEEF3"/>
        <bgColor rgb="FFDAEEF3"/>
      </patternFill>
    </fill>
    <fill>
      <patternFill patternType="solid">
        <fgColor rgb="FFB7DEE8"/>
        <bgColor rgb="FFB7DEE8"/>
      </patternFill>
    </fill>
    <fill>
      <patternFill patternType="solid">
        <fgColor rgb="FF31869B"/>
        <bgColor rgb="FF31869B"/>
      </patternFill>
    </fill>
    <fill>
      <patternFill patternType="solid">
        <fgColor rgb="FFC4D79B"/>
        <bgColor rgb="FFC4D79B"/>
      </patternFill>
    </fill>
    <fill>
      <patternFill patternType="solid">
        <fgColor rgb="FF4F6228"/>
        <bgColor rgb="FF4F6228"/>
      </patternFill>
    </fill>
  </fills>
  <borders count="8">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thin">
        <color rgb="FFD8D8D8"/>
      </left>
      <right style="thin">
        <color rgb="FFD8D8D8"/>
      </right>
      <top style="thin">
        <color rgb="FFD8D8D8"/>
      </top>
      <bottom style="thin">
        <color rgb="FFD8D8D8"/>
      </bottom>
    </border>
    <border>
      <left style="thin">
        <color rgb="FFD8D8D8"/>
      </left>
      <right style="thin">
        <color rgb="FFD8D8D8"/>
      </right>
      <top/>
      <bottom style="thin">
        <color rgb="FFD8D8D8"/>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3" numFmtId="164" xfId="0" applyAlignment="1" applyBorder="1" applyFill="1" applyFont="1" applyNumberFormat="1">
      <alignment horizontal="left"/>
    </xf>
    <xf borderId="0" fillId="0" fontId="4" numFmtId="0" xfId="0" applyFont="1"/>
    <xf borderId="1" fillId="4" fontId="3" numFmtId="0" xfId="0" applyBorder="1" applyFill="1" applyFont="1"/>
    <xf borderId="0" fillId="0" fontId="2" numFmtId="0" xfId="0" applyFont="1"/>
    <xf borderId="0" fillId="0" fontId="3" numFmtId="0" xfId="0" applyFont="1"/>
    <xf borderId="1" fillId="5" fontId="3" numFmtId="0" xfId="0" applyBorder="1" applyFill="1" applyFont="1"/>
    <xf borderId="0" fillId="0" fontId="2" numFmtId="49" xfId="0" applyFont="1" applyNumberFormat="1"/>
    <xf borderId="1" fillId="6" fontId="5" numFmtId="0" xfId="0" applyBorder="1" applyFill="1" applyFont="1"/>
    <xf borderId="1" fillId="6" fontId="6" numFmtId="0" xfId="0" applyBorder="1" applyFont="1"/>
    <xf borderId="1" fillId="7" fontId="5" numFmtId="0" xfId="0" applyAlignment="1" applyBorder="1" applyFill="1" applyFont="1">
      <alignment readingOrder="0"/>
    </xf>
    <xf borderId="1" fillId="6" fontId="2" numFmtId="0" xfId="0" applyBorder="1" applyFont="1"/>
    <xf borderId="1" fillId="8" fontId="3" numFmtId="0" xfId="0" applyAlignment="1" applyBorder="1" applyFill="1" applyFont="1">
      <alignment horizontal="center"/>
    </xf>
    <xf borderId="1" fillId="9" fontId="3" numFmtId="0" xfId="0" applyAlignment="1" applyBorder="1" applyFill="1" applyFont="1">
      <alignment horizontal="center"/>
    </xf>
    <xf borderId="1" fillId="10" fontId="3" numFmtId="0" xfId="0" applyAlignment="1" applyBorder="1" applyFill="1" applyFont="1">
      <alignment horizontal="center"/>
    </xf>
    <xf borderId="1" fillId="6" fontId="7" numFmtId="0" xfId="0" applyAlignment="1" applyBorder="1" applyFont="1">
      <alignment horizontal="center"/>
    </xf>
    <xf borderId="1" fillId="11" fontId="7" numFmtId="0" xfId="0" applyAlignment="1" applyBorder="1" applyFill="1" applyFont="1">
      <alignment horizontal="center"/>
    </xf>
    <xf borderId="1" fillId="12" fontId="7" numFmtId="0" xfId="0" applyAlignment="1" applyBorder="1" applyFill="1" applyFont="1">
      <alignment horizontal="center"/>
    </xf>
    <xf borderId="1" fillId="13" fontId="7" numFmtId="0" xfId="0" applyAlignment="1" applyBorder="1" applyFill="1" applyFont="1">
      <alignment horizontal="center"/>
    </xf>
    <xf borderId="1" fillId="14" fontId="8" numFmtId="0" xfId="0" applyAlignment="1" applyBorder="1" applyFill="1" applyFont="1">
      <alignment horizontal="center"/>
    </xf>
    <xf borderId="2" fillId="0" fontId="9" numFmtId="0" xfId="0" applyBorder="1" applyFont="1"/>
    <xf borderId="2" fillId="0" fontId="2" numFmtId="0" xfId="0" applyBorder="1" applyFont="1"/>
    <xf borderId="2" fillId="13" fontId="3" numFmtId="9" xfId="0" applyAlignment="1" applyBorder="1" applyFont="1" applyNumberFormat="1">
      <alignment horizontal="center"/>
    </xf>
    <xf borderId="2" fillId="0" fontId="10" numFmtId="0" xfId="0" applyAlignment="1" applyBorder="1" applyFont="1">
      <alignment horizontal="center"/>
    </xf>
    <xf borderId="2" fillId="0" fontId="2" numFmtId="9" xfId="0" applyAlignment="1" applyBorder="1" applyFont="1" applyNumberFormat="1">
      <alignment readingOrder="0"/>
    </xf>
    <xf borderId="2" fillId="0" fontId="2" numFmtId="9" xfId="0" applyBorder="1" applyFont="1" applyNumberFormat="1"/>
    <xf borderId="2" fillId="13" fontId="3" numFmtId="0" xfId="0" applyAlignment="1" applyBorder="1" applyFont="1">
      <alignment horizontal="center"/>
    </xf>
    <xf borderId="2" fillId="13" fontId="3" numFmtId="3" xfId="0" applyAlignment="1" applyBorder="1" applyFont="1" applyNumberFormat="1">
      <alignment horizontal="center"/>
    </xf>
    <xf borderId="2" fillId="0" fontId="2" numFmtId="3" xfId="0" applyAlignment="1" applyBorder="1" applyFont="1" applyNumberFormat="1">
      <alignment readingOrder="0"/>
    </xf>
    <xf borderId="2" fillId="0" fontId="2" numFmtId="0" xfId="0" applyAlignment="1" applyBorder="1" applyFont="1">
      <alignment readingOrder="0"/>
    </xf>
    <xf borderId="2" fillId="13" fontId="3" numFmtId="1" xfId="0" applyAlignment="1" applyBorder="1" applyFont="1" applyNumberFormat="1">
      <alignment horizontal="center"/>
    </xf>
    <xf borderId="2" fillId="0" fontId="2" numFmtId="1" xfId="0" applyBorder="1" applyFont="1" applyNumberFormat="1"/>
    <xf borderId="2" fillId="0" fontId="11" numFmtId="0" xfId="0" applyAlignment="1" applyBorder="1" applyFont="1">
      <alignment shrinkToFit="0" wrapText="1"/>
    </xf>
    <xf borderId="2" fillId="13" fontId="12" numFmtId="0" xfId="0" applyAlignment="1" applyBorder="1" applyFont="1">
      <alignment horizontal="center"/>
    </xf>
    <xf borderId="2" fillId="0" fontId="11" numFmtId="0" xfId="0" applyBorder="1" applyFont="1"/>
    <xf borderId="3" fillId="15" fontId="13" numFmtId="0" xfId="0" applyBorder="1" applyFill="1" applyFont="1"/>
    <xf borderId="3" fillId="15" fontId="14" numFmtId="0" xfId="0" applyBorder="1" applyFont="1"/>
    <xf borderId="1" fillId="13" fontId="15" numFmtId="0" xfId="0" applyAlignment="1" applyBorder="1" applyFont="1">
      <alignment horizontal="center"/>
    </xf>
    <xf borderId="3" fillId="15" fontId="10" numFmtId="0" xfId="0" applyAlignment="1" applyBorder="1" applyFont="1">
      <alignment horizontal="center"/>
    </xf>
    <xf borderId="0" fillId="0" fontId="14" numFmtId="0" xfId="0" applyAlignment="1" applyFont="1">
      <alignment readingOrder="0"/>
    </xf>
    <xf borderId="0" fillId="0" fontId="14" numFmtId="0" xfId="0" applyFont="1"/>
    <xf borderId="1" fillId="13" fontId="15" numFmtId="3" xfId="0" applyAlignment="1" applyBorder="1" applyFont="1" applyNumberFormat="1">
      <alignment horizontal="center"/>
    </xf>
    <xf borderId="1" fillId="15" fontId="14" numFmtId="3" xfId="0" applyAlignment="1" applyBorder="1" applyFont="1" applyNumberFormat="1">
      <alignment readingOrder="0"/>
    </xf>
    <xf borderId="1" fillId="13" fontId="15" numFmtId="9" xfId="0" applyAlignment="1" applyBorder="1" applyFont="1" applyNumberFormat="1">
      <alignment horizontal="center"/>
    </xf>
    <xf borderId="1" fillId="15" fontId="14" numFmtId="9" xfId="0" applyBorder="1" applyFont="1" applyNumberFormat="1"/>
    <xf borderId="1" fillId="6" fontId="16" numFmtId="0" xfId="0" applyBorder="1" applyFont="1"/>
    <xf borderId="1" fillId="6" fontId="2" numFmtId="0" xfId="0" applyAlignment="1" applyBorder="1" applyFont="1">
      <alignment shrinkToFit="0" wrapText="1"/>
    </xf>
    <xf borderId="0" fillId="0" fontId="2" numFmtId="0" xfId="0" applyAlignment="1" applyFont="1">
      <alignment shrinkToFit="0" wrapText="1"/>
    </xf>
    <xf borderId="1" fillId="16" fontId="17" numFmtId="0" xfId="0" applyBorder="1" applyFill="1" applyFont="1"/>
    <xf borderId="1" fillId="16" fontId="2" numFmtId="0" xfId="0" applyBorder="1" applyFont="1"/>
    <xf borderId="1" fillId="16" fontId="2" numFmtId="0" xfId="0" applyAlignment="1" applyBorder="1" applyFont="1">
      <alignment shrinkToFit="0" wrapText="1"/>
    </xf>
    <xf borderId="1" fillId="8" fontId="18" numFmtId="0" xfId="0" applyAlignment="1" applyBorder="1" applyFont="1">
      <alignment horizontal="center"/>
    </xf>
    <xf borderId="1" fillId="4" fontId="3" numFmtId="0" xfId="0" applyAlignment="1" applyBorder="1" applyFont="1">
      <alignment shrinkToFit="0" wrapText="1"/>
    </xf>
    <xf borderId="0" fillId="0" fontId="2" numFmtId="165" xfId="0" applyFont="1" applyNumberFormat="1"/>
    <xf borderId="0" fillId="0" fontId="2" numFmtId="166" xfId="0" applyFont="1" applyNumberFormat="1"/>
    <xf borderId="0" fillId="0" fontId="2" numFmtId="9" xfId="0" applyFont="1" applyNumberFormat="1"/>
    <xf borderId="0" fillId="0" fontId="2" numFmtId="3" xfId="0" applyFont="1" applyNumberFormat="1"/>
    <xf borderId="0" fillId="0" fontId="11" numFmtId="0" xfId="0" applyFont="1"/>
    <xf borderId="1" fillId="11" fontId="17" numFmtId="0" xfId="0" applyBorder="1" applyFont="1"/>
    <xf borderId="1" fillId="11" fontId="2" numFmtId="0" xfId="0" applyBorder="1" applyFont="1"/>
    <xf borderId="1" fillId="11" fontId="2" numFmtId="0" xfId="0" applyAlignment="1" applyBorder="1" applyFont="1">
      <alignment shrinkToFit="0" wrapText="1"/>
    </xf>
    <xf borderId="1" fillId="17" fontId="3" numFmtId="0" xfId="0" applyAlignment="1" applyBorder="1" applyFill="1" applyFont="1">
      <alignment horizontal="center"/>
    </xf>
    <xf borderId="1" fillId="18" fontId="3" numFmtId="0" xfId="0" applyBorder="1" applyFill="1" applyFont="1"/>
    <xf borderId="1" fillId="18" fontId="2" numFmtId="0" xfId="0" applyBorder="1" applyFont="1"/>
    <xf borderId="1" fillId="6" fontId="7" numFmtId="0" xfId="0" applyBorder="1" applyFont="1"/>
    <xf borderId="1" fillId="4" fontId="2" numFmtId="0" xfId="0" applyBorder="1" applyFont="1"/>
    <xf borderId="0" fillId="0" fontId="19" numFmtId="0" xfId="0" applyAlignment="1" applyFont="1">
      <alignment horizontal="left"/>
    </xf>
    <xf borderId="0" fillId="0" fontId="10" numFmtId="0" xfId="0" applyFont="1"/>
    <xf borderId="0" fillId="0" fontId="19" numFmtId="164" xfId="0" applyAlignment="1" applyFont="1" applyNumberFormat="1">
      <alignment horizontal="left"/>
    </xf>
    <xf borderId="1" fillId="19" fontId="19" numFmtId="167" xfId="0" applyAlignment="1" applyBorder="1" applyFill="1" applyFont="1" applyNumberFormat="1">
      <alignment horizontal="left"/>
    </xf>
    <xf borderId="1" fillId="20" fontId="20" numFmtId="3" xfId="0" applyBorder="1" applyFill="1" applyFont="1" applyNumberFormat="1"/>
    <xf borderId="1" fillId="20" fontId="2" numFmtId="0" xfId="0" applyBorder="1" applyFont="1"/>
    <xf borderId="1" fillId="20" fontId="19" numFmtId="0" xfId="0" applyBorder="1" applyFont="1"/>
    <xf borderId="0" fillId="0" fontId="19" numFmtId="0" xfId="0" applyFont="1"/>
    <xf borderId="0" fillId="0" fontId="20" numFmtId="3" xfId="0" applyFont="1" applyNumberFormat="1"/>
    <xf borderId="1" fillId="20" fontId="14" numFmtId="0" xfId="0" applyBorder="1" applyFont="1"/>
    <xf borderId="1" fillId="4" fontId="15" numFmtId="0" xfId="0" applyBorder="1" applyFont="1"/>
    <xf borderId="1" fillId="15" fontId="14" numFmtId="0" xfId="0" applyBorder="1" applyFont="1"/>
    <xf borderId="1" fillId="21" fontId="14" numFmtId="3" xfId="0" applyBorder="1" applyFill="1" applyFont="1" applyNumberFormat="1"/>
    <xf borderId="1" fillId="15" fontId="21" numFmtId="0" xfId="0" applyBorder="1" applyFont="1"/>
    <xf borderId="1" fillId="21" fontId="14" numFmtId="9" xfId="0" applyBorder="1" applyFont="1" applyNumberFormat="1"/>
    <xf borderId="1" fillId="21" fontId="2" numFmtId="3" xfId="0" applyBorder="1" applyFont="1" applyNumberFormat="1"/>
    <xf borderId="0" fillId="0" fontId="21" numFmtId="0" xfId="0" applyFont="1"/>
    <xf borderId="1" fillId="21" fontId="2" numFmtId="0" xfId="0" applyBorder="1" applyFont="1"/>
    <xf borderId="1" fillId="21" fontId="2" numFmtId="9" xfId="0" applyBorder="1" applyFont="1" applyNumberFormat="1"/>
    <xf borderId="1" fillId="4" fontId="10" numFmtId="0" xfId="0" applyBorder="1" applyFont="1"/>
    <xf borderId="1" fillId="18" fontId="10" numFmtId="0" xfId="0" applyAlignment="1" applyBorder="1" applyFont="1">
      <alignment shrinkToFit="0" wrapText="1"/>
    </xf>
    <xf borderId="1" fillId="4" fontId="3" numFmtId="0" xfId="0" applyAlignment="1" applyBorder="1" applyFont="1">
      <alignment horizontal="center"/>
    </xf>
    <xf borderId="1" fillId="18" fontId="3" numFmtId="0" xfId="0" applyAlignment="1" applyBorder="1" applyFont="1">
      <alignment horizontal="center"/>
    </xf>
    <xf borderId="0" fillId="0" fontId="22" numFmtId="0" xfId="0" applyFont="1"/>
    <xf borderId="0" fillId="0" fontId="22" numFmtId="3" xfId="0" applyFont="1" applyNumberFormat="1"/>
    <xf borderId="1" fillId="5" fontId="20" numFmtId="3" xfId="0" applyBorder="1" applyFont="1" applyNumberFormat="1"/>
    <xf borderId="1" fillId="5" fontId="15" numFmtId="3" xfId="0" applyBorder="1" applyFont="1" applyNumberFormat="1"/>
    <xf borderId="0" fillId="0" fontId="23" numFmtId="3" xfId="0" applyFont="1" applyNumberFormat="1"/>
    <xf borderId="0" fillId="0" fontId="19" numFmtId="3" xfId="0" applyFont="1" applyNumberFormat="1"/>
    <xf borderId="0" fillId="0" fontId="14" numFmtId="3" xfId="0" applyFont="1" applyNumberFormat="1"/>
    <xf borderId="4" fillId="0" fontId="2" numFmtId="0" xfId="0" applyAlignment="1" applyBorder="1" applyFont="1">
      <alignment shrinkToFit="0" wrapText="1"/>
    </xf>
    <xf borderId="4" fillId="0" fontId="19" numFmtId="3" xfId="0" applyAlignment="1" applyBorder="1" applyFont="1" applyNumberFormat="1">
      <alignment horizontal="right" shrinkToFit="0" wrapText="1"/>
    </xf>
    <xf borderId="4" fillId="0" fontId="2" numFmtId="3" xfId="0" applyAlignment="1" applyBorder="1" applyFont="1" applyNumberFormat="1">
      <alignment horizontal="right" shrinkToFit="0" wrapText="1"/>
    </xf>
    <xf borderId="4" fillId="0" fontId="23" numFmtId="3" xfId="0" applyAlignment="1" applyBorder="1" applyFont="1" applyNumberFormat="1">
      <alignment horizontal="right" shrinkToFit="0" wrapText="1"/>
    </xf>
    <xf borderId="0" fillId="0" fontId="19" numFmtId="167" xfId="0" applyFont="1" applyNumberFormat="1"/>
    <xf borderId="1" fillId="19" fontId="19" numFmtId="167" xfId="0" applyBorder="1" applyFont="1" applyNumberFormat="1"/>
    <xf borderId="5" fillId="0" fontId="19" numFmtId="3" xfId="0" applyAlignment="1" applyBorder="1" applyFont="1" applyNumberFormat="1">
      <alignment horizontal="right" shrinkToFit="0" wrapText="1"/>
    </xf>
    <xf borderId="0" fillId="0" fontId="24" numFmtId="0" xfId="0" applyAlignment="1" applyFont="1">
      <alignment shrinkToFit="0" wrapText="1"/>
    </xf>
    <xf borderId="0" fillId="0" fontId="19" numFmtId="3" xfId="0" applyAlignment="1" applyFont="1" applyNumberFormat="1">
      <alignment horizontal="right" shrinkToFit="0" wrapText="1"/>
    </xf>
    <xf borderId="1" fillId="5" fontId="25" numFmtId="0" xfId="0" applyBorder="1" applyFont="1"/>
    <xf borderId="0" fillId="0" fontId="26" numFmtId="0" xfId="0" applyFont="1"/>
    <xf borderId="4" fillId="0" fontId="19" numFmtId="0" xfId="0" applyAlignment="1" applyBorder="1" applyFont="1">
      <alignment horizontal="right" shrinkToFit="0" wrapText="1"/>
    </xf>
    <xf borderId="0" fillId="0" fontId="27" numFmtId="0" xfId="0" applyFont="1"/>
    <xf borderId="0" fillId="0" fontId="27" numFmtId="0" xfId="0" applyAlignment="1" applyFont="1">
      <alignment horizontal="left"/>
    </xf>
    <xf borderId="0" fillId="0" fontId="26" numFmtId="0" xfId="0" applyAlignment="1" applyFont="1">
      <alignment horizontal="left"/>
    </xf>
    <xf borderId="1" fillId="4" fontId="25" numFmtId="0" xfId="0" applyAlignment="1" applyBorder="1" applyFont="1">
      <alignment horizontal="center" shrinkToFit="0" wrapText="1"/>
    </xf>
    <xf borderId="1" fillId="18" fontId="19" numFmtId="0" xfId="0" applyBorder="1" applyFont="1"/>
    <xf borderId="0" fillId="0" fontId="19" numFmtId="0" xfId="0" applyAlignment="1" applyFont="1">
      <alignment horizontal="center"/>
    </xf>
    <xf borderId="1" fillId="4" fontId="19" numFmtId="0" xfId="0" applyBorder="1" applyFont="1"/>
    <xf borderId="1" fillId="4" fontId="19" numFmtId="0" xfId="0" applyAlignment="1" applyBorder="1" applyFont="1">
      <alignment horizontal="center"/>
    </xf>
    <xf borderId="1" fillId="20" fontId="19" numFmtId="0" xfId="0" applyAlignment="1" applyBorder="1" applyFont="1">
      <alignment horizontal="center"/>
    </xf>
    <xf borderId="1" fillId="14" fontId="15" numFmtId="0" xfId="0" applyBorder="1" applyFont="1"/>
    <xf borderId="1" fillId="14" fontId="15" numFmtId="3" xfId="0" applyBorder="1" applyFont="1" applyNumberFormat="1"/>
    <xf borderId="1" fillId="14" fontId="25" numFmtId="0" xfId="0" applyBorder="1" applyFont="1"/>
    <xf borderId="6" fillId="15" fontId="19" numFmtId="0" xfId="0" applyAlignment="1" applyBorder="1" applyFont="1">
      <alignment horizontal="center"/>
    </xf>
    <xf borderId="7" fillId="15" fontId="19" numFmtId="0" xfId="0" applyAlignment="1" applyBorder="1" applyFont="1">
      <alignment horizontal="center"/>
    </xf>
    <xf borderId="1" fillId="4" fontId="25" numFmtId="3" xfId="0" applyBorder="1" applyFont="1" applyNumberFormat="1"/>
    <xf borderId="1" fillId="4" fontId="25" numFmtId="0" xfId="0" applyBorder="1" applyFont="1"/>
    <xf borderId="0" fillId="22" fontId="28" numFmtId="0" xfId="0" applyAlignment="1" applyFill="1" applyFont="1">
      <alignment readingOrder="0"/>
    </xf>
    <xf borderId="0" fillId="23" fontId="28" numFmtId="0" xfId="0" applyAlignment="1" applyFill="1" applyFont="1">
      <alignment readingOrder="0"/>
    </xf>
    <xf borderId="0" fillId="8" fontId="29" numFmtId="0" xfId="0" applyAlignment="1" applyFont="1">
      <alignment readingOrder="0"/>
    </xf>
    <xf borderId="0" fillId="24" fontId="28" numFmtId="0" xfId="0" applyAlignment="1" applyFill="1" applyFont="1">
      <alignment readingOrder="0"/>
    </xf>
    <xf borderId="1" fillId="4" fontId="30" numFmtId="0" xfId="0" applyAlignment="1" applyBorder="1" applyFont="1">
      <alignment horizontal="center"/>
    </xf>
    <xf borderId="1" fillId="4" fontId="8" numFmtId="0" xfId="0" applyAlignment="1" applyBorder="1" applyFont="1">
      <alignment horizontal="center"/>
    </xf>
    <xf borderId="1" fillId="15" fontId="19" numFmtId="0" xfId="0" applyBorder="1" applyFont="1"/>
    <xf borderId="0" fillId="0" fontId="19" numFmtId="0" xfId="0" applyAlignment="1" applyFont="1">
      <alignment readingOrder="0"/>
    </xf>
    <xf borderId="1" fillId="16" fontId="18" numFmtId="0" xfId="0" applyBorder="1" applyFont="1"/>
    <xf borderId="1" fillId="18" fontId="8" numFmtId="0" xfId="0" applyAlignment="1" applyBorder="1" applyFont="1">
      <alignment horizontal="center" shrinkToFit="0" wrapText="1"/>
    </xf>
    <xf borderId="1" fillId="25" fontId="3" numFmtId="0" xfId="0" applyBorder="1" applyFill="1" applyFont="1"/>
    <xf borderId="0" fillId="0" fontId="31" numFmtId="0" xfId="0" applyAlignment="1" applyFont="1">
      <alignment shrinkToFit="0" wrapText="1"/>
    </xf>
    <xf borderId="1" fillId="26" fontId="3" numFmtId="0" xfId="0" applyBorder="1" applyFill="1" applyFont="1"/>
    <xf borderId="1" fillId="20" fontId="31" numFmtId="0" xfId="0" applyAlignment="1" applyBorder="1" applyFont="1">
      <alignment shrinkToFit="0" wrapText="1"/>
    </xf>
    <xf borderId="1" fillId="27" fontId="18" numFmtId="0" xfId="0" applyBorder="1" applyFill="1" applyFont="1"/>
    <xf borderId="1" fillId="28" fontId="3" numFmtId="0" xfId="0" applyBorder="1" applyFill="1" applyFont="1"/>
    <xf borderId="1" fillId="29" fontId="18" numFmtId="0" xfId="0" applyBorder="1" applyFill="1" applyFont="1"/>
    <xf borderId="1" fillId="4" fontId="8" numFmtId="0" xfId="0" applyBorder="1" applyFont="1"/>
    <xf borderId="1" fillId="25" fontId="8" numFmtId="0" xfId="0" applyAlignment="1" applyBorder="1" applyFont="1">
      <alignment horizontal="center"/>
    </xf>
    <xf borderId="1" fillId="26" fontId="8" numFmtId="0" xfId="0" applyAlignment="1" applyBorder="1" applyFont="1">
      <alignment horizontal="center"/>
    </xf>
    <xf borderId="1" fillId="27" fontId="7" numFmtId="0" xfId="0" applyAlignment="1" applyBorder="1" applyFont="1">
      <alignment horizontal="center"/>
    </xf>
    <xf borderId="1" fillId="28" fontId="8" numFmtId="0" xfId="0" applyAlignment="1" applyBorder="1" applyFont="1">
      <alignment horizontal="center"/>
    </xf>
    <xf borderId="1" fillId="29" fontId="7" numFmtId="0" xfId="0" applyAlignment="1" applyBorder="1" applyFont="1">
      <alignment horizontal="center"/>
    </xf>
    <xf borderId="0" fillId="0" fontId="3" numFmtId="3" xfId="0" applyFont="1" applyNumberFormat="1"/>
    <xf borderId="0" fillId="0" fontId="1" numFmtId="0" xfId="0" applyFont="1"/>
    <xf borderId="1" fillId="4" fontId="9" numFmtId="0" xfId="0" applyAlignment="1" applyBorder="1" applyFont="1">
      <alignment horizontal="center"/>
    </xf>
    <xf borderId="1" fillId="16" fontId="32" numFmtId="0" xfId="0" applyBorder="1" applyFont="1"/>
    <xf borderId="1" fillId="15" fontId="14" numFmtId="3" xfId="0" applyBorder="1" applyFont="1" applyNumberFormat="1"/>
    <xf borderId="1" fillId="14" fontId="3" numFmtId="3" xfId="0" applyBorder="1" applyFont="1" applyNumberFormat="1"/>
    <xf borderId="0" fillId="0" fontId="2" numFmtId="168" xfId="0" applyFont="1" applyNumberFormat="1"/>
    <xf borderId="1" fillId="15" fontId="15" numFmtId="0" xfId="0" applyBorder="1" applyFont="1"/>
    <xf borderId="0" fillId="0" fontId="2" numFmtId="167" xfId="0" applyFont="1" applyNumberFormat="1"/>
    <xf borderId="1" fillId="13" fontId="15" numFmtId="0" xfId="0" applyBorder="1" applyFont="1"/>
    <xf borderId="1" fillId="13" fontId="15" numFmtId="3" xfId="0" applyBorder="1" applyFont="1" applyNumberFormat="1"/>
    <xf borderId="1" fillId="7" fontId="15" numFmtId="3" xfId="0" applyBorder="1" applyFont="1" applyNumberFormat="1"/>
    <xf borderId="1" fillId="13" fontId="33" numFmtId="0" xfId="0" applyBorder="1" applyFont="1"/>
    <xf borderId="1" fillId="13" fontId="33" numFmtId="3" xfId="0" applyBorder="1" applyFont="1" applyNumberFormat="1"/>
    <xf borderId="1" fillId="15" fontId="14" numFmtId="167" xfId="0" applyBorder="1" applyFont="1" applyNumberFormat="1"/>
    <xf borderId="0" fillId="0" fontId="23" numFmtId="169" xfId="0" applyFont="1" applyNumberFormat="1"/>
    <xf borderId="0" fillId="0" fontId="3" numFmtId="169" xfId="0" applyFont="1" applyNumberFormat="1"/>
    <xf borderId="0" fillId="0" fontId="2" numFmtId="169" xfId="0" applyFont="1" applyNumberFormat="1"/>
    <xf borderId="1" fillId="19" fontId="2" numFmtId="0" xfId="0" applyBorder="1" applyFont="1"/>
    <xf borderId="1" fillId="0" fontId="2" numFmtId="169" xfId="0" applyBorder="1" applyFont="1" applyNumberFormat="1"/>
    <xf borderId="1" fillId="18" fontId="2" numFmtId="169" xfId="0" applyBorder="1" applyFont="1" applyNumberFormat="1"/>
    <xf borderId="1" fillId="25" fontId="9" numFmtId="0" xfId="0" applyAlignment="1" applyBorder="1" applyFont="1">
      <alignment horizontal="center"/>
    </xf>
    <xf borderId="1" fillId="26" fontId="9" numFmtId="0" xfId="0" applyAlignment="1" applyBorder="1" applyFont="1">
      <alignment horizontal="center"/>
    </xf>
    <xf borderId="1" fillId="27" fontId="32" numFmtId="0" xfId="0" applyAlignment="1" applyBorder="1" applyFont="1">
      <alignment horizontal="center"/>
    </xf>
    <xf borderId="1" fillId="28" fontId="9" numFmtId="0" xfId="0" applyAlignment="1" applyBorder="1" applyFont="1">
      <alignment horizontal="center"/>
    </xf>
    <xf borderId="1" fillId="29" fontId="32" numFmtId="0" xfId="0" applyAlignment="1" applyBorder="1" applyFont="1">
      <alignment horizontal="center"/>
    </xf>
    <xf borderId="1" fillId="20" fontId="2" numFmtId="169" xfId="0" applyBorder="1" applyFont="1" applyNumberFormat="1"/>
    <xf borderId="0" fillId="0" fontId="2" numFmtId="170"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4" width="45.43"/>
    <col customWidth="1" min="5" max="26" width="10.71"/>
  </cols>
  <sheetData>
    <row r="1" ht="14.25" customHeight="1">
      <c r="A1" s="1" t="s">
        <v>0</v>
      </c>
      <c r="B1" s="2"/>
      <c r="C1" s="2"/>
    </row>
    <row r="2" ht="14.25" customHeight="1">
      <c r="A2" s="3" t="s">
        <v>1</v>
      </c>
      <c r="B2" s="4">
        <f>TODAY()</f>
        <v>46096</v>
      </c>
    </row>
    <row r="3" ht="14.25" customHeight="1">
      <c r="A3" s="5" t="s">
        <v>2</v>
      </c>
    </row>
    <row r="4" ht="14.25" customHeight="1">
      <c r="A4" s="6" t="s">
        <v>3</v>
      </c>
      <c r="B4" s="6" t="s">
        <v>4</v>
      </c>
      <c r="C4" s="6" t="s">
        <v>5</v>
      </c>
      <c r="D4" s="6" t="s">
        <v>6</v>
      </c>
    </row>
    <row r="5" ht="14.25" customHeight="1">
      <c r="A5" s="7" t="s">
        <v>7</v>
      </c>
      <c r="B5" s="7" t="s">
        <v>8</v>
      </c>
      <c r="C5" s="7" t="s">
        <v>9</v>
      </c>
      <c r="D5" s="7" t="s">
        <v>10</v>
      </c>
    </row>
    <row r="6" ht="14.25" customHeight="1">
      <c r="A6" s="7" t="s">
        <v>11</v>
      </c>
      <c r="B6" s="7" t="s">
        <v>12</v>
      </c>
      <c r="C6" s="7" t="s">
        <v>13</v>
      </c>
      <c r="D6" s="7" t="s">
        <v>14</v>
      </c>
    </row>
    <row r="7" ht="14.25" customHeight="1">
      <c r="A7" s="7" t="s">
        <v>15</v>
      </c>
      <c r="B7" s="7" t="s">
        <v>16</v>
      </c>
      <c r="C7" s="7" t="s">
        <v>9</v>
      </c>
      <c r="D7" s="7" t="s">
        <v>11</v>
      </c>
    </row>
    <row r="8" ht="14.25" customHeight="1">
      <c r="A8" s="7" t="s">
        <v>17</v>
      </c>
      <c r="B8" s="7" t="s">
        <v>18</v>
      </c>
      <c r="C8" s="7" t="s">
        <v>19</v>
      </c>
      <c r="D8" s="7" t="s">
        <v>11</v>
      </c>
    </row>
    <row r="9" ht="14.25" customHeight="1">
      <c r="A9" s="7" t="s">
        <v>20</v>
      </c>
      <c r="B9" s="7" t="s">
        <v>21</v>
      </c>
      <c r="C9" s="7" t="s">
        <v>9</v>
      </c>
      <c r="D9" s="7" t="s">
        <v>22</v>
      </c>
    </row>
    <row r="10" ht="14.25" customHeight="1">
      <c r="A10" s="7" t="s">
        <v>23</v>
      </c>
      <c r="B10" s="7" t="s">
        <v>24</v>
      </c>
      <c r="C10" s="7" t="s">
        <v>9</v>
      </c>
      <c r="D10" s="7" t="s">
        <v>17</v>
      </c>
    </row>
    <row r="11" ht="14.25" customHeight="1">
      <c r="A11" s="7" t="s">
        <v>25</v>
      </c>
      <c r="B11" s="7" t="s">
        <v>26</v>
      </c>
      <c r="C11" s="7" t="s">
        <v>9</v>
      </c>
      <c r="D11" s="7" t="s">
        <v>17</v>
      </c>
    </row>
    <row r="12" ht="14.25" customHeight="1">
      <c r="A12" s="7" t="s">
        <v>27</v>
      </c>
      <c r="B12" s="7" t="s">
        <v>28</v>
      </c>
      <c r="C12" s="7" t="s">
        <v>9</v>
      </c>
      <c r="D12" s="7" t="s">
        <v>22</v>
      </c>
    </row>
    <row r="13" ht="14.25" customHeight="1">
      <c r="A13" s="7" t="s">
        <v>29</v>
      </c>
      <c r="B13" s="7" t="s">
        <v>30</v>
      </c>
      <c r="C13" s="7" t="s">
        <v>9</v>
      </c>
      <c r="D13" s="7" t="s">
        <v>31</v>
      </c>
    </row>
    <row r="14" ht="14.25" customHeight="1"/>
    <row r="15" ht="14.25" customHeight="1">
      <c r="A15" s="5" t="s">
        <v>32</v>
      </c>
    </row>
    <row r="16" ht="14.25" customHeight="1">
      <c r="A16" s="7" t="s">
        <v>33</v>
      </c>
      <c r="B16" s="7" t="s">
        <v>34</v>
      </c>
      <c r="C16" s="7" t="s">
        <v>35</v>
      </c>
    </row>
    <row r="17" ht="14.25" customHeight="1">
      <c r="A17" s="7" t="s">
        <v>36</v>
      </c>
      <c r="B17" s="7" t="s">
        <v>37</v>
      </c>
    </row>
    <row r="18" ht="14.25" customHeight="1">
      <c r="A18" s="8" t="s">
        <v>38</v>
      </c>
    </row>
    <row r="19" ht="14.25" customHeight="1">
      <c r="A19" s="7" t="s">
        <v>39</v>
      </c>
      <c r="B19" s="7" t="s">
        <v>40</v>
      </c>
    </row>
    <row r="20" ht="14.25" customHeight="1">
      <c r="A20" s="7" t="s">
        <v>41</v>
      </c>
      <c r="B20" s="7" t="s">
        <v>42</v>
      </c>
    </row>
    <row r="21" ht="14.25" customHeight="1">
      <c r="A21" s="7" t="s">
        <v>43</v>
      </c>
      <c r="B21" s="7" t="s">
        <v>44</v>
      </c>
    </row>
    <row r="22" ht="14.25" customHeight="1">
      <c r="A22" s="7" t="s">
        <v>45</v>
      </c>
      <c r="B22" s="7" t="s">
        <v>46</v>
      </c>
    </row>
    <row r="23" ht="14.25" customHeight="1">
      <c r="A23" s="7" t="s">
        <v>47</v>
      </c>
      <c r="B23" s="7" t="s">
        <v>48</v>
      </c>
    </row>
    <row r="24" ht="14.25" customHeight="1"/>
    <row r="25" ht="14.25" customHeight="1">
      <c r="A25" s="5" t="s">
        <v>49</v>
      </c>
    </row>
    <row r="26" ht="14.25" customHeight="1">
      <c r="A26" s="7" t="s">
        <v>50</v>
      </c>
      <c r="B26" s="7" t="s">
        <v>51</v>
      </c>
      <c r="C26" s="7" t="s">
        <v>52</v>
      </c>
      <c r="D26" s="7" t="s">
        <v>53</v>
      </c>
    </row>
    <row r="27" ht="14.25" customHeight="1">
      <c r="A27" s="9" t="s">
        <v>54</v>
      </c>
      <c r="B27" s="9" t="s">
        <v>55</v>
      </c>
      <c r="C27" s="9" t="s">
        <v>56</v>
      </c>
      <c r="D27" s="9" t="s">
        <v>57</v>
      </c>
    </row>
    <row r="28" ht="14.25" customHeight="1">
      <c r="A28" s="7" t="s">
        <v>58</v>
      </c>
      <c r="B28" s="10" t="s">
        <v>59</v>
      </c>
      <c r="C28" s="7" t="s">
        <v>60</v>
      </c>
      <c r="D28" s="7" t="s">
        <v>61</v>
      </c>
    </row>
    <row r="29" ht="14.25" customHeight="1">
      <c r="A29" s="7" t="s">
        <v>62</v>
      </c>
      <c r="B29" s="10" t="s">
        <v>63</v>
      </c>
      <c r="C29" s="7" t="s">
        <v>64</v>
      </c>
      <c r="D29" s="7" t="s">
        <v>65</v>
      </c>
    </row>
    <row r="30" ht="14.25" customHeight="1">
      <c r="A30" s="7" t="s">
        <v>66</v>
      </c>
      <c r="B30" s="7" t="s">
        <v>67</v>
      </c>
      <c r="C30" s="7" t="s">
        <v>68</v>
      </c>
      <c r="D30" s="7" t="s">
        <v>69</v>
      </c>
    </row>
    <row r="31" ht="14.25" customHeight="1">
      <c r="A31" s="7" t="s">
        <v>70</v>
      </c>
      <c r="B31" s="7" t="s">
        <v>71</v>
      </c>
      <c r="C31" s="7" t="s">
        <v>68</v>
      </c>
      <c r="D31" s="7" t="s">
        <v>69</v>
      </c>
    </row>
    <row r="32" ht="14.25" customHeight="1">
      <c r="A32" s="7" t="s">
        <v>72</v>
      </c>
      <c r="B32" s="7" t="s">
        <v>73</v>
      </c>
      <c r="C32" s="7" t="s">
        <v>74</v>
      </c>
      <c r="D32" s="7" t="s">
        <v>75</v>
      </c>
    </row>
    <row r="33" ht="14.25" customHeight="1">
      <c r="A33" s="7" t="s">
        <v>76</v>
      </c>
      <c r="B33" s="7" t="s">
        <v>77</v>
      </c>
      <c r="C33" s="7" t="s">
        <v>78</v>
      </c>
      <c r="D33" s="7" t="s">
        <v>75</v>
      </c>
    </row>
    <row r="34" ht="14.25" customHeight="1">
      <c r="A34" s="7" t="s">
        <v>79</v>
      </c>
      <c r="B34" s="7" t="s">
        <v>80</v>
      </c>
      <c r="C34" s="7" t="s">
        <v>81</v>
      </c>
      <c r="D34" s="7" t="s">
        <v>82</v>
      </c>
    </row>
    <row r="35" ht="14.25" customHeight="1">
      <c r="A35" s="7" t="s">
        <v>83</v>
      </c>
      <c r="B35" s="7" t="s">
        <v>84</v>
      </c>
      <c r="C35" s="7" t="s">
        <v>85</v>
      </c>
      <c r="D35" s="7" t="s">
        <v>86</v>
      </c>
    </row>
    <row r="36" ht="14.25" customHeight="1">
      <c r="A36" s="7" t="s">
        <v>87</v>
      </c>
      <c r="B36" s="7" t="s">
        <v>88</v>
      </c>
      <c r="C36" s="7" t="s">
        <v>89</v>
      </c>
      <c r="D36" s="7" t="s">
        <v>90</v>
      </c>
    </row>
    <row r="37" ht="14.25" customHeight="1">
      <c r="A37" s="7" t="s">
        <v>91</v>
      </c>
      <c r="B37" s="7" t="s">
        <v>92</v>
      </c>
      <c r="C37" s="7" t="s">
        <v>93</v>
      </c>
      <c r="D37" s="7" t="s">
        <v>94</v>
      </c>
    </row>
    <row r="38" ht="14.25" customHeight="1">
      <c r="A38" s="7" t="s">
        <v>95</v>
      </c>
      <c r="B38" s="7" t="s">
        <v>96</v>
      </c>
      <c r="C38" s="7" t="s">
        <v>97</v>
      </c>
      <c r="D38" s="7" t="s">
        <v>98</v>
      </c>
    </row>
    <row r="39" ht="14.25" customHeight="1">
      <c r="A39" s="7" t="s">
        <v>99</v>
      </c>
      <c r="B39" s="7" t="s">
        <v>100</v>
      </c>
      <c r="C39" s="7" t="s">
        <v>101</v>
      </c>
      <c r="D39" s="7" t="s">
        <v>102</v>
      </c>
    </row>
    <row r="40" ht="14.25" customHeight="1">
      <c r="A40" s="7" t="s">
        <v>103</v>
      </c>
      <c r="B40" s="7" t="s">
        <v>104</v>
      </c>
      <c r="C40" s="7" t="s">
        <v>105</v>
      </c>
      <c r="D40" s="7" t="s">
        <v>94</v>
      </c>
    </row>
    <row r="41" ht="14.25" customHeight="1">
      <c r="A41" s="7" t="s">
        <v>106</v>
      </c>
      <c r="B41" s="7" t="s">
        <v>107</v>
      </c>
      <c r="C41" s="7" t="s">
        <v>108</v>
      </c>
      <c r="D41" s="7" t="s">
        <v>94</v>
      </c>
    </row>
    <row r="42" ht="14.25" customHeight="1">
      <c r="A42" s="7" t="s">
        <v>109</v>
      </c>
      <c r="B42" s="7" t="s">
        <v>110</v>
      </c>
      <c r="C42" s="7" t="s">
        <v>111</v>
      </c>
      <c r="D42" s="7" t="s">
        <v>94</v>
      </c>
    </row>
    <row r="43" ht="14.25" customHeight="1">
      <c r="A43" s="7" t="s">
        <v>112</v>
      </c>
      <c r="B43" s="7" t="s">
        <v>113</v>
      </c>
      <c r="C43" s="7" t="s">
        <v>114</v>
      </c>
      <c r="D43" s="7" t="s">
        <v>115</v>
      </c>
    </row>
    <row r="44" ht="14.25" customHeight="1">
      <c r="A44" s="7" t="s">
        <v>116</v>
      </c>
      <c r="B44" s="7" t="s">
        <v>117</v>
      </c>
      <c r="C44" s="7" t="s">
        <v>118</v>
      </c>
      <c r="D44" s="7" t="s">
        <v>94</v>
      </c>
    </row>
    <row r="45" ht="14.25" customHeight="1">
      <c r="A45" s="7" t="s">
        <v>119</v>
      </c>
      <c r="B45" s="7" t="s">
        <v>120</v>
      </c>
      <c r="C45" s="7" t="s">
        <v>121</v>
      </c>
      <c r="D45" s="7" t="s">
        <v>122</v>
      </c>
    </row>
    <row r="46" ht="14.25" customHeight="1">
      <c r="A46" s="7" t="s">
        <v>123</v>
      </c>
      <c r="B46" s="7" t="s">
        <v>124</v>
      </c>
      <c r="C46" s="7" t="s">
        <v>125</v>
      </c>
      <c r="D46" s="7" t="s">
        <v>126</v>
      </c>
    </row>
    <row r="47" ht="14.25" customHeight="1">
      <c r="A47" s="7" t="s">
        <v>127</v>
      </c>
      <c r="B47" s="7" t="s">
        <v>128</v>
      </c>
      <c r="C47" s="7" t="s">
        <v>129</v>
      </c>
      <c r="D47" s="7" t="s">
        <v>130</v>
      </c>
    </row>
    <row r="48" ht="14.25" customHeight="1"/>
    <row r="49" ht="14.25" customHeight="1">
      <c r="A49" s="5" t="s">
        <v>131</v>
      </c>
    </row>
    <row r="50" ht="14.25" customHeight="1">
      <c r="A50" s="7" t="s">
        <v>132</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14"/>
    <col customWidth="1" min="2" max="2" width="40.0"/>
    <col customWidth="1" min="3" max="3" width="18.14"/>
    <col customWidth="1" min="4" max="4" width="14.57"/>
    <col customWidth="1" min="5" max="26" width="10.71"/>
  </cols>
  <sheetData>
    <row r="1" ht="14.25" customHeight="1">
      <c r="A1" s="11"/>
      <c r="B1" s="12" t="s">
        <v>133</v>
      </c>
      <c r="C1" s="13" t="s">
        <v>134</v>
      </c>
      <c r="D1" s="14"/>
      <c r="E1" s="15" t="s">
        <v>135</v>
      </c>
      <c r="F1" s="16" t="s">
        <v>136</v>
      </c>
      <c r="G1" s="17" t="s">
        <v>137</v>
      </c>
    </row>
    <row r="2" ht="14.25" customHeight="1">
      <c r="A2" s="18" t="s">
        <v>138</v>
      </c>
      <c r="B2" s="18" t="s">
        <v>139</v>
      </c>
      <c r="C2" s="19" t="s">
        <v>140</v>
      </c>
      <c r="D2" s="18" t="s">
        <v>141</v>
      </c>
      <c r="E2" s="20" t="s">
        <v>135</v>
      </c>
      <c r="F2" s="21" t="s">
        <v>136</v>
      </c>
      <c r="G2" s="22" t="s">
        <v>137</v>
      </c>
    </row>
    <row r="3" ht="14.25" customHeight="1">
      <c r="A3" s="23" t="s">
        <v>142</v>
      </c>
      <c r="B3" s="24" t="s">
        <v>143</v>
      </c>
      <c r="C3" s="25">
        <f t="shared" ref="C3:C13" si="1">IF($C$1="gering",E3,IF($C$1="normal",F3,G3))</f>
        <v>0.7</v>
      </c>
      <c r="D3" s="26" t="s">
        <v>144</v>
      </c>
      <c r="E3" s="27">
        <v>0.5</v>
      </c>
      <c r="F3" s="27">
        <v>0.7</v>
      </c>
      <c r="G3" s="28">
        <v>0.8</v>
      </c>
      <c r="I3" s="7"/>
    </row>
    <row r="4" ht="14.25" customHeight="1">
      <c r="A4" s="23" t="s">
        <v>145</v>
      </c>
      <c r="B4" s="24" t="s">
        <v>146</v>
      </c>
      <c r="C4" s="29">
        <f t="shared" si="1"/>
        <v>8</v>
      </c>
      <c r="D4" s="26" t="s">
        <v>147</v>
      </c>
      <c r="E4" s="24">
        <v>17.0</v>
      </c>
      <c r="F4" s="24">
        <v>8.0</v>
      </c>
      <c r="G4" s="24">
        <v>6.0</v>
      </c>
      <c r="I4" s="7"/>
    </row>
    <row r="5" ht="14.25" customHeight="1">
      <c r="A5" s="23" t="s">
        <v>148</v>
      </c>
      <c r="B5" s="24" t="s">
        <v>149</v>
      </c>
      <c r="C5" s="30">
        <f t="shared" si="1"/>
        <v>1500</v>
      </c>
      <c r="D5" s="26" t="s">
        <v>150</v>
      </c>
      <c r="E5" s="31">
        <v>1500.0</v>
      </c>
      <c r="F5" s="31">
        <v>1500.0</v>
      </c>
      <c r="G5" s="31">
        <v>2500.0</v>
      </c>
    </row>
    <row r="6" ht="14.25" customHeight="1">
      <c r="A6" s="23" t="s">
        <v>148</v>
      </c>
      <c r="B6" s="24" t="s">
        <v>151</v>
      </c>
      <c r="C6" s="29">
        <f t="shared" si="1"/>
        <v>20</v>
      </c>
      <c r="D6" s="26" t="s">
        <v>152</v>
      </c>
      <c r="E6" s="32">
        <v>10.0</v>
      </c>
      <c r="F6" s="32">
        <v>20.0</v>
      </c>
      <c r="G6" s="32">
        <v>30.0</v>
      </c>
    </row>
    <row r="7" ht="14.25" customHeight="1">
      <c r="A7" s="23" t="s">
        <v>148</v>
      </c>
      <c r="B7" s="24" t="s">
        <v>153</v>
      </c>
      <c r="C7" s="25">
        <f t="shared" si="1"/>
        <v>1</v>
      </c>
      <c r="D7" s="26" t="s">
        <v>144</v>
      </c>
      <c r="E7" s="27">
        <v>0.8</v>
      </c>
      <c r="F7" s="27">
        <v>1.0</v>
      </c>
      <c r="G7" s="28">
        <v>1.0</v>
      </c>
      <c r="I7" s="7"/>
    </row>
    <row r="8" ht="14.25" customHeight="1">
      <c r="A8" s="23" t="s">
        <v>148</v>
      </c>
      <c r="B8" s="24" t="s">
        <v>154</v>
      </c>
      <c r="C8" s="29">
        <f t="shared" si="1"/>
        <v>6</v>
      </c>
      <c r="D8" s="26" t="s">
        <v>147</v>
      </c>
      <c r="E8" s="24">
        <v>10.0</v>
      </c>
      <c r="F8" s="24">
        <v>6.0</v>
      </c>
      <c r="G8" s="24">
        <v>5.0</v>
      </c>
    </row>
    <row r="9" ht="14.25" customHeight="1">
      <c r="A9" s="23" t="s">
        <v>155</v>
      </c>
      <c r="B9" s="24" t="s">
        <v>156</v>
      </c>
      <c r="C9" s="25">
        <f t="shared" si="1"/>
        <v>1.15</v>
      </c>
      <c r="D9" s="26" t="s">
        <v>144</v>
      </c>
      <c r="E9" s="28">
        <v>1.15</v>
      </c>
      <c r="F9" s="28">
        <v>1.15</v>
      </c>
      <c r="G9" s="28">
        <v>1.3</v>
      </c>
    </row>
    <row r="10" ht="14.25" customHeight="1">
      <c r="A10" s="23" t="s">
        <v>155</v>
      </c>
      <c r="B10" s="24" t="s">
        <v>157</v>
      </c>
      <c r="C10" s="25">
        <f t="shared" si="1"/>
        <v>0.05</v>
      </c>
      <c r="D10" s="26" t="s">
        <v>144</v>
      </c>
      <c r="E10" s="27">
        <v>0.05</v>
      </c>
      <c r="F10" s="27">
        <v>0.05</v>
      </c>
      <c r="G10" s="28">
        <v>0.03</v>
      </c>
    </row>
    <row r="11" ht="14.25" customHeight="1">
      <c r="A11" s="23" t="s">
        <v>158</v>
      </c>
      <c r="B11" s="24" t="s">
        <v>159</v>
      </c>
      <c r="C11" s="29" t="str">
        <f t="shared" si="1"/>
        <v>2,0x</v>
      </c>
      <c r="D11" s="26" t="s">
        <v>160</v>
      </c>
      <c r="E11" s="24" t="s">
        <v>161</v>
      </c>
      <c r="F11" s="24" t="s">
        <v>162</v>
      </c>
      <c r="G11" s="24" t="s">
        <v>163</v>
      </c>
    </row>
    <row r="12" ht="14.25" customHeight="1">
      <c r="A12" s="23" t="s">
        <v>164</v>
      </c>
      <c r="B12" s="24" t="s">
        <v>165</v>
      </c>
      <c r="C12" s="33">
        <f t="shared" si="1"/>
        <v>60</v>
      </c>
      <c r="D12" s="26" t="s">
        <v>166</v>
      </c>
      <c r="E12" s="34">
        <v>120.0</v>
      </c>
      <c r="F12" s="34">
        <v>60.0</v>
      </c>
      <c r="G12" s="34">
        <v>30.0</v>
      </c>
    </row>
    <row r="13" ht="49.5" customHeight="1">
      <c r="A13" s="23" t="s">
        <v>167</v>
      </c>
      <c r="B13" s="35" t="s">
        <v>168</v>
      </c>
      <c r="C13" s="33">
        <f t="shared" si="1"/>
        <v>0</v>
      </c>
      <c r="D13" s="26" t="s">
        <v>169</v>
      </c>
      <c r="E13" s="34">
        <v>0.0</v>
      </c>
      <c r="F13" s="34">
        <v>0.0</v>
      </c>
      <c r="G13" s="34">
        <v>0.0</v>
      </c>
    </row>
    <row r="14" ht="14.25" customHeight="1">
      <c r="A14" s="23" t="s">
        <v>148</v>
      </c>
      <c r="B14" s="24" t="s">
        <v>170</v>
      </c>
      <c r="C14" s="36">
        <f>C5*C6</f>
        <v>30000</v>
      </c>
      <c r="D14" s="26" t="s">
        <v>171</v>
      </c>
      <c r="E14" s="37">
        <f t="shared" ref="E14:G14" si="2">E5*E6</f>
        <v>15000</v>
      </c>
      <c r="F14" s="37">
        <f t="shared" si="2"/>
        <v>30000</v>
      </c>
      <c r="G14" s="37">
        <f t="shared" si="2"/>
        <v>75000</v>
      </c>
    </row>
    <row r="15" ht="14.25" customHeight="1">
      <c r="A15" s="38" t="s">
        <v>148</v>
      </c>
      <c r="B15" s="39" t="s">
        <v>172</v>
      </c>
      <c r="C15" s="40">
        <f t="shared" ref="C15:C20" si="3">IF($C$1="gering",E15,IF($C$1="normal",F15,G15))</f>
        <v>6</v>
      </c>
      <c r="D15" s="41" t="s">
        <v>173</v>
      </c>
      <c r="E15" s="42">
        <v>4.0</v>
      </c>
      <c r="F15" s="42">
        <v>6.0</v>
      </c>
      <c r="G15" s="43">
        <v>10.0</v>
      </c>
    </row>
    <row r="16" ht="14.25" customHeight="1">
      <c r="A16" s="38" t="s">
        <v>148</v>
      </c>
      <c r="B16" s="39" t="s">
        <v>174</v>
      </c>
      <c r="C16" s="40">
        <f t="shared" si="3"/>
        <v>12</v>
      </c>
      <c r="D16" s="41" t="s">
        <v>173</v>
      </c>
      <c r="E16" s="42">
        <v>8.0</v>
      </c>
      <c r="F16" s="42">
        <v>12.0</v>
      </c>
      <c r="G16" s="42">
        <v>15.0</v>
      </c>
    </row>
    <row r="17" ht="14.25" customHeight="1">
      <c r="A17" s="38" t="s">
        <v>148</v>
      </c>
      <c r="B17" s="39" t="s">
        <v>175</v>
      </c>
      <c r="C17" s="44">
        <f t="shared" si="3"/>
        <v>460</v>
      </c>
      <c r="D17" s="41" t="s">
        <v>176</v>
      </c>
      <c r="E17" s="45">
        <v>350.0</v>
      </c>
      <c r="F17" s="45">
        <v>460.0</v>
      </c>
      <c r="G17" s="45">
        <v>500.0</v>
      </c>
    </row>
    <row r="18" ht="14.25" customHeight="1">
      <c r="A18" s="38" t="s">
        <v>148</v>
      </c>
      <c r="B18" s="39" t="s">
        <v>177</v>
      </c>
      <c r="C18" s="44">
        <f t="shared" si="3"/>
        <v>530</v>
      </c>
      <c r="D18" s="41" t="s">
        <v>176</v>
      </c>
      <c r="E18" s="45">
        <v>450.0</v>
      </c>
      <c r="F18" s="45">
        <v>530.0</v>
      </c>
      <c r="G18" s="45">
        <v>550.0</v>
      </c>
    </row>
    <row r="19" ht="14.25" customHeight="1">
      <c r="A19" s="38" t="s">
        <v>148</v>
      </c>
      <c r="B19" s="39" t="s">
        <v>178</v>
      </c>
      <c r="C19" s="44">
        <f t="shared" si="3"/>
        <v>50000</v>
      </c>
      <c r="D19" s="41" t="s">
        <v>179</v>
      </c>
      <c r="E19" s="45">
        <v>30000.0</v>
      </c>
      <c r="F19" s="45">
        <v>50000.0</v>
      </c>
      <c r="G19" s="45">
        <v>45000.0</v>
      </c>
    </row>
    <row r="20" ht="14.25" customHeight="1">
      <c r="A20" s="38" t="s">
        <v>148</v>
      </c>
      <c r="B20" s="39" t="s">
        <v>180</v>
      </c>
      <c r="C20" s="46">
        <f t="shared" si="3"/>
        <v>0.04</v>
      </c>
      <c r="D20" s="41" t="s">
        <v>144</v>
      </c>
      <c r="E20" s="47">
        <v>0.03</v>
      </c>
      <c r="F20" s="47">
        <v>0.04</v>
      </c>
      <c r="G20" s="47">
        <v>0.06</v>
      </c>
    </row>
    <row r="21" ht="14.25" customHeight="1"/>
    <row r="22" ht="14.25" customHeight="1"/>
    <row r="23" ht="14.25" customHeight="1"/>
    <row r="24" ht="14.25" customHeight="1"/>
    <row r="25" ht="14.25" customHeight="1"/>
    <row r="26" ht="14.25" customHeight="1"/>
    <row r="27" ht="14.25" customHeight="1"/>
    <row r="28" ht="14.25" customHeight="1">
      <c r="E28" s="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InputMessage="1" showErrorMessage="1" prompt="Ungültige Eingabe - Bitte wählen Sie: gering, normal oder stark" sqref="C1">
      <formula1>"gering,normal,stark"</formula1>
    </dataValidation>
  </dataValidations>
  <printOptions/>
  <pageMargins bottom="0.787401575" footer="0.0" header="0.0" left="0.7" right="0.7"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4" width="30.86"/>
    <col customWidth="1" min="5" max="6" width="40.0"/>
    <col customWidth="1" min="7" max="26" width="10.71"/>
  </cols>
  <sheetData>
    <row r="1" ht="14.25" customHeight="1">
      <c r="A1" s="48" t="s">
        <v>181</v>
      </c>
      <c r="B1" s="14"/>
      <c r="C1" s="14"/>
      <c r="D1" s="14"/>
      <c r="E1" s="14"/>
      <c r="F1" s="49"/>
    </row>
    <row r="2" ht="14.25" customHeight="1">
      <c r="F2" s="50"/>
    </row>
    <row r="3" ht="14.25" customHeight="1">
      <c r="A3" s="51" t="s">
        <v>182</v>
      </c>
      <c r="B3" s="52"/>
      <c r="C3" s="52"/>
      <c r="D3" s="52"/>
      <c r="E3" s="52"/>
      <c r="F3" s="53"/>
    </row>
    <row r="4" ht="14.25" customHeight="1">
      <c r="A4" s="6" t="s">
        <v>139</v>
      </c>
      <c r="B4" s="54" t="s">
        <v>135</v>
      </c>
      <c r="C4" s="16" t="s">
        <v>136</v>
      </c>
      <c r="D4" s="17" t="s">
        <v>137</v>
      </c>
      <c r="E4" s="6" t="s">
        <v>183</v>
      </c>
      <c r="F4" s="55" t="s">
        <v>184</v>
      </c>
    </row>
    <row r="5" ht="14.25" customHeight="1">
      <c r="A5" s="7" t="s">
        <v>172</v>
      </c>
      <c r="B5" s="7">
        <f>'1_Szenario'!E15</f>
        <v>4</v>
      </c>
      <c r="C5" s="7">
        <f>'1_Szenario'!F15</f>
        <v>6</v>
      </c>
      <c r="D5" s="7">
        <f>'1_Szenario'!G15</f>
        <v>10</v>
      </c>
      <c r="E5" s="7" t="s">
        <v>148</v>
      </c>
      <c r="F5" s="50" t="s">
        <v>185</v>
      </c>
    </row>
    <row r="6" ht="14.25" customHeight="1">
      <c r="A6" s="7" t="s">
        <v>186</v>
      </c>
      <c r="B6" s="7">
        <f>'1_Szenario'!E16</f>
        <v>8</v>
      </c>
      <c r="C6" s="7">
        <f>'1_Szenario'!F16</f>
        <v>12</v>
      </c>
      <c r="D6" s="7">
        <f>'1_Szenario'!G16</f>
        <v>15</v>
      </c>
      <c r="E6" s="7" t="s">
        <v>148</v>
      </c>
      <c r="F6" s="50" t="s">
        <v>187</v>
      </c>
    </row>
    <row r="7" ht="14.25" customHeight="1">
      <c r="A7" s="7" t="s">
        <v>188</v>
      </c>
      <c r="B7" s="56">
        <f>'1_Szenario'!E17</f>
        <v>350</v>
      </c>
      <c r="C7" s="56">
        <f>'1_Szenario'!F17</f>
        <v>460</v>
      </c>
      <c r="D7" s="56">
        <f>'1_Szenario'!G17</f>
        <v>500</v>
      </c>
      <c r="E7" s="7" t="s">
        <v>189</v>
      </c>
      <c r="F7" s="50" t="s">
        <v>190</v>
      </c>
    </row>
    <row r="8" ht="14.25" customHeight="1">
      <c r="A8" s="7" t="s">
        <v>191</v>
      </c>
      <c r="B8" s="56">
        <f>'1_Szenario'!E18</f>
        <v>450</v>
      </c>
      <c r="C8" s="56">
        <f>'1_Szenario'!F18</f>
        <v>530</v>
      </c>
      <c r="D8" s="56">
        <f>'1_Szenario'!G18</f>
        <v>550</v>
      </c>
      <c r="E8" s="7" t="s">
        <v>189</v>
      </c>
      <c r="F8" s="50" t="s">
        <v>192</v>
      </c>
    </row>
    <row r="9" ht="14.25" customHeight="1">
      <c r="A9" s="7" t="s">
        <v>193</v>
      </c>
      <c r="B9" s="56">
        <f>'1_Szenario'!E19</f>
        <v>30000</v>
      </c>
      <c r="C9" s="56">
        <f>'1_Szenario'!F19</f>
        <v>50000</v>
      </c>
      <c r="D9" s="56">
        <f>'1_Szenario'!G19</f>
        <v>45000</v>
      </c>
      <c r="E9" s="7" t="s">
        <v>194</v>
      </c>
      <c r="F9" s="50" t="s">
        <v>195</v>
      </c>
    </row>
    <row r="10" ht="14.25" customHeight="1">
      <c r="A10" s="7" t="s">
        <v>146</v>
      </c>
      <c r="B10" s="57">
        <f>'1_Szenario'!E4</f>
        <v>17</v>
      </c>
      <c r="C10" s="57">
        <f>'1_Szenario'!F4</f>
        <v>8</v>
      </c>
      <c r="D10" s="57">
        <f>'1_Szenario'!G4</f>
        <v>6</v>
      </c>
      <c r="E10" s="7" t="s">
        <v>196</v>
      </c>
      <c r="F10" s="50" t="s">
        <v>197</v>
      </c>
    </row>
    <row r="11" ht="14.25" customHeight="1">
      <c r="A11" s="7" t="s">
        <v>151</v>
      </c>
      <c r="B11" s="7">
        <f>'1_Szenario'!E6</f>
        <v>10</v>
      </c>
      <c r="C11" s="7">
        <f>'1_Szenario'!F6</f>
        <v>20</v>
      </c>
      <c r="D11" s="7">
        <f>'1_Szenario'!G6</f>
        <v>30</v>
      </c>
      <c r="E11" s="7" t="s">
        <v>198</v>
      </c>
      <c r="F11" s="50" t="s">
        <v>199</v>
      </c>
    </row>
    <row r="12" ht="14.25" customHeight="1">
      <c r="A12" s="7" t="s">
        <v>200</v>
      </c>
      <c r="B12" s="58">
        <f>'1_Szenario'!E7</f>
        <v>0.8</v>
      </c>
      <c r="C12" s="58">
        <f>'1_Szenario'!F7</f>
        <v>1</v>
      </c>
      <c r="D12" s="58">
        <f>'1_Szenario'!G7</f>
        <v>1</v>
      </c>
      <c r="E12" s="7" t="s">
        <v>148</v>
      </c>
      <c r="F12" s="50" t="s">
        <v>201</v>
      </c>
    </row>
    <row r="13" ht="14.25" customHeight="1">
      <c r="A13" s="7" t="s">
        <v>202</v>
      </c>
      <c r="B13" s="58">
        <f>'1_Szenario'!E10</f>
        <v>0.05</v>
      </c>
      <c r="C13" s="58">
        <f>'1_Szenario'!F10</f>
        <v>0.05</v>
      </c>
      <c r="D13" s="58">
        <f>'1_Szenario'!G10</f>
        <v>0.03</v>
      </c>
      <c r="E13" s="7" t="s">
        <v>203</v>
      </c>
      <c r="F13" s="50" t="s">
        <v>204</v>
      </c>
    </row>
    <row r="14" ht="14.25" customHeight="1">
      <c r="A14" s="7" t="s">
        <v>180</v>
      </c>
      <c r="B14" s="58">
        <f>'1_Szenario'!E20</f>
        <v>0.03</v>
      </c>
      <c r="C14" s="58">
        <f>'1_Szenario'!F20</f>
        <v>0.04</v>
      </c>
      <c r="D14" s="58">
        <f>'1_Szenario'!G20</f>
        <v>0.06</v>
      </c>
      <c r="E14" s="7" t="s">
        <v>194</v>
      </c>
      <c r="F14" s="50" t="s">
        <v>205</v>
      </c>
    </row>
    <row r="15" ht="14.25" customHeight="1">
      <c r="A15" s="7" t="s">
        <v>206</v>
      </c>
      <c r="B15" s="58">
        <f>'1_Szenario'!E9</f>
        <v>1.15</v>
      </c>
      <c r="C15" s="58">
        <f>'1_Szenario'!F9</f>
        <v>1.15</v>
      </c>
      <c r="D15" s="58">
        <f>'1_Szenario'!G9</f>
        <v>1.3</v>
      </c>
      <c r="E15" s="7" t="s">
        <v>194</v>
      </c>
      <c r="F15" s="50" t="s">
        <v>207</v>
      </c>
    </row>
    <row r="16" ht="14.25" customHeight="1">
      <c r="F16" s="50"/>
    </row>
    <row r="17" ht="14.25" customHeight="1">
      <c r="A17" s="51" t="s">
        <v>208</v>
      </c>
      <c r="B17" s="52"/>
      <c r="C17" s="52"/>
      <c r="D17" s="52"/>
      <c r="E17" s="52"/>
      <c r="F17" s="53"/>
    </row>
    <row r="18" ht="14.25" customHeight="1">
      <c r="A18" s="6" t="s">
        <v>209</v>
      </c>
      <c r="B18" s="54" t="s">
        <v>135</v>
      </c>
      <c r="C18" s="16" t="s">
        <v>136</v>
      </c>
      <c r="D18" s="17" t="s">
        <v>137</v>
      </c>
      <c r="E18" s="6" t="s">
        <v>141</v>
      </c>
      <c r="F18" s="55" t="s">
        <v>210</v>
      </c>
    </row>
    <row r="19" ht="14.25" customHeight="1">
      <c r="A19" s="7" t="s">
        <v>211</v>
      </c>
      <c r="B19" s="59">
        <f>'1_Szenario'!E15*'1_Szenario'!E17</f>
        <v>1400</v>
      </c>
      <c r="C19" s="59">
        <f>'1_Szenario'!F15*'1_Szenario'!F17</f>
        <v>2760</v>
      </c>
      <c r="D19" s="59">
        <f>'1_Szenario'!G15*'1_Szenario'!G17</f>
        <v>5000</v>
      </c>
      <c r="E19" s="7" t="s">
        <v>176</v>
      </c>
      <c r="F19" s="50" t="s">
        <v>212</v>
      </c>
    </row>
    <row r="20" ht="14.25" customHeight="1">
      <c r="A20" s="7" t="s">
        <v>213</v>
      </c>
      <c r="B20" s="59">
        <f t="shared" ref="B20:D20" si="1">B19*12</f>
        <v>16800</v>
      </c>
      <c r="C20" s="59">
        <f t="shared" si="1"/>
        <v>33120</v>
      </c>
      <c r="D20" s="59">
        <f t="shared" si="1"/>
        <v>60000</v>
      </c>
      <c r="E20" s="7" t="s">
        <v>179</v>
      </c>
      <c r="F20" s="50" t="s">
        <v>214</v>
      </c>
    </row>
    <row r="21" ht="14.25" customHeight="1">
      <c r="A21" s="7" t="s">
        <v>215</v>
      </c>
      <c r="B21" s="59">
        <f>'1_Szenario'!E16*'1_Szenario'!E18</f>
        <v>3600</v>
      </c>
      <c r="C21" s="59">
        <f>'1_Szenario'!F16*'1_Szenario'!F18</f>
        <v>6360</v>
      </c>
      <c r="D21" s="59">
        <f>'1_Szenario'!G16*'1_Szenario'!G18</f>
        <v>8250</v>
      </c>
      <c r="E21" s="7" t="s">
        <v>176</v>
      </c>
      <c r="F21" s="50" t="s">
        <v>212</v>
      </c>
    </row>
    <row r="22" ht="14.25" customHeight="1">
      <c r="A22" s="7" t="s">
        <v>216</v>
      </c>
      <c r="B22" s="59">
        <f t="shared" ref="B22:D22" si="2">B21*12</f>
        <v>43200</v>
      </c>
      <c r="C22" s="59">
        <f t="shared" si="2"/>
        <v>76320</v>
      </c>
      <c r="D22" s="59">
        <f t="shared" si="2"/>
        <v>99000</v>
      </c>
      <c r="E22" s="7" t="s">
        <v>179</v>
      </c>
      <c r="F22" s="50" t="s">
        <v>214</v>
      </c>
    </row>
    <row r="23" ht="14.25" customHeight="1">
      <c r="A23" s="7" t="s">
        <v>217</v>
      </c>
      <c r="B23" s="59">
        <f>'1_Szenario'!E19/12</f>
        <v>2500</v>
      </c>
      <c r="C23" s="59">
        <f>'1_Szenario'!F19/12</f>
        <v>4166.666667</v>
      </c>
      <c r="D23" s="59">
        <f>'1_Szenario'!G19/12</f>
        <v>3750</v>
      </c>
      <c r="E23" s="7" t="s">
        <v>176</v>
      </c>
      <c r="F23" s="50" t="s">
        <v>218</v>
      </c>
    </row>
    <row r="24" ht="14.25" customHeight="1">
      <c r="A24" s="7" t="s">
        <v>219</v>
      </c>
      <c r="B24" s="59">
        <f>'1_Szenario'!E14</f>
        <v>15000</v>
      </c>
      <c r="C24" s="59">
        <f>'1_Szenario'!F14</f>
        <v>30000</v>
      </c>
      <c r="D24" s="59">
        <f>'1_Szenario'!G14</f>
        <v>75000</v>
      </c>
      <c r="E24" s="7" t="s">
        <v>220</v>
      </c>
      <c r="F24" s="50" t="s">
        <v>221</v>
      </c>
    </row>
    <row r="25" ht="14.25" customHeight="1">
      <c r="F25" s="50"/>
    </row>
    <row r="26" ht="14.25" customHeight="1">
      <c r="A26" s="51" t="s">
        <v>222</v>
      </c>
      <c r="B26" s="52"/>
      <c r="C26" s="52"/>
      <c r="D26" s="52"/>
      <c r="E26" s="52"/>
      <c r="F26" s="53"/>
    </row>
    <row r="27" ht="14.25" customHeight="1">
      <c r="A27" s="6" t="s">
        <v>223</v>
      </c>
      <c r="B27" s="6" t="s">
        <v>224</v>
      </c>
      <c r="C27" s="6" t="s">
        <v>225</v>
      </c>
      <c r="D27" s="6" t="s">
        <v>226</v>
      </c>
      <c r="E27" s="6" t="s">
        <v>202</v>
      </c>
      <c r="F27" s="55" t="s">
        <v>227</v>
      </c>
    </row>
    <row r="28" ht="14.25" customHeight="1">
      <c r="A28" s="7" t="s">
        <v>228</v>
      </c>
      <c r="B28" s="7" t="s">
        <v>229</v>
      </c>
      <c r="C28" s="7" t="s">
        <v>230</v>
      </c>
      <c r="D28" s="7" t="s">
        <v>231</v>
      </c>
      <c r="E28" s="7" t="s">
        <v>232</v>
      </c>
      <c r="F28" s="50" t="s">
        <v>233</v>
      </c>
    </row>
    <row r="29" ht="14.25" customHeight="1">
      <c r="A29" s="7" t="s">
        <v>234</v>
      </c>
      <c r="B29" s="7" t="s">
        <v>235</v>
      </c>
      <c r="C29" s="7" t="s">
        <v>230</v>
      </c>
      <c r="D29" s="7" t="s">
        <v>236</v>
      </c>
      <c r="E29" s="7" t="s">
        <v>237</v>
      </c>
      <c r="F29" s="50" t="s">
        <v>238</v>
      </c>
    </row>
    <row r="30" ht="14.25" customHeight="1">
      <c r="A30" s="7" t="s">
        <v>239</v>
      </c>
      <c r="B30" s="7" t="s">
        <v>240</v>
      </c>
      <c r="C30" s="7" t="s">
        <v>230</v>
      </c>
      <c r="D30" s="7" t="s">
        <v>241</v>
      </c>
      <c r="E30" s="7" t="s">
        <v>242</v>
      </c>
      <c r="F30" s="50" t="s">
        <v>233</v>
      </c>
    </row>
    <row r="31" ht="14.25" customHeight="1">
      <c r="F31" s="50"/>
    </row>
    <row r="32" ht="14.25" customHeight="1">
      <c r="A32" s="51" t="s">
        <v>243</v>
      </c>
      <c r="B32" s="52"/>
      <c r="C32" s="52"/>
      <c r="D32" s="52"/>
      <c r="E32" s="52"/>
      <c r="F32" s="53"/>
    </row>
    <row r="33" ht="14.25" customHeight="1">
      <c r="A33" s="60" t="s">
        <v>244</v>
      </c>
      <c r="F33" s="50"/>
    </row>
    <row r="34" ht="14.25" customHeight="1">
      <c r="A34" s="6" t="s">
        <v>210</v>
      </c>
      <c r="B34" s="6" t="s">
        <v>245</v>
      </c>
      <c r="C34" s="6" t="s">
        <v>246</v>
      </c>
      <c r="D34" s="6" t="s">
        <v>247</v>
      </c>
      <c r="E34" s="6" t="s">
        <v>248</v>
      </c>
      <c r="F34" s="55" t="s">
        <v>57</v>
      </c>
    </row>
    <row r="35" ht="14.25" customHeight="1">
      <c r="A35" s="7" t="s">
        <v>249</v>
      </c>
      <c r="B35" s="7" t="s">
        <v>250</v>
      </c>
      <c r="C35" s="7" t="s">
        <v>251</v>
      </c>
      <c r="D35" s="7" t="s">
        <v>252</v>
      </c>
      <c r="E35" s="7" t="s">
        <v>253</v>
      </c>
      <c r="F35" s="50" t="s">
        <v>254</v>
      </c>
    </row>
    <row r="36" ht="14.25" customHeight="1">
      <c r="F36" s="50"/>
    </row>
    <row r="37" ht="14.25" customHeight="1">
      <c r="A37" s="61" t="s">
        <v>255</v>
      </c>
      <c r="B37" s="62"/>
      <c r="C37" s="62"/>
      <c r="D37" s="62"/>
      <c r="E37" s="62"/>
      <c r="F37" s="63"/>
    </row>
    <row r="38" ht="14.25" customHeight="1">
      <c r="A38" s="6" t="s">
        <v>256</v>
      </c>
      <c r="B38" s="64" t="s">
        <v>257</v>
      </c>
      <c r="C38" s="16" t="s">
        <v>258</v>
      </c>
      <c r="D38" s="17" t="s">
        <v>259</v>
      </c>
      <c r="E38" s="6" t="s">
        <v>260</v>
      </c>
      <c r="F38" s="55" t="s">
        <v>261</v>
      </c>
    </row>
    <row r="39" ht="14.25" customHeight="1">
      <c r="A39" s="8" t="s">
        <v>262</v>
      </c>
      <c r="B39" s="7" t="str">
        <f>'1_Szenario'!E13&amp;" FTE"</f>
        <v>0 FTE</v>
      </c>
      <c r="C39" s="7" t="str">
        <f>'1_Szenario'!F13&amp;" FTE"</f>
        <v>0 FTE</v>
      </c>
      <c r="D39" s="7" t="str">
        <f>'1_Szenario'!G13&amp;" FTE"</f>
        <v>0 FTE</v>
      </c>
      <c r="E39" s="7" t="s">
        <v>263</v>
      </c>
      <c r="F39" s="50" t="s">
        <v>264</v>
      </c>
    </row>
    <row r="40" ht="14.25" customHeight="1">
      <c r="A40" s="7" t="s">
        <v>265</v>
      </c>
      <c r="B40" s="7" t="s">
        <v>266</v>
      </c>
      <c r="C40" s="7" t="s">
        <v>267</v>
      </c>
      <c r="D40" s="7" t="s">
        <v>268</v>
      </c>
      <c r="E40" s="7" t="s">
        <v>269</v>
      </c>
      <c r="F40" s="50" t="s">
        <v>270</v>
      </c>
    </row>
    <row r="41" ht="14.25" customHeight="1">
      <c r="A41" s="7" t="s">
        <v>271</v>
      </c>
      <c r="B41" s="7" t="str">
        <f>'1_Szenario'!E6&amp;" Tage/Kunde, low-touch"</f>
        <v>10 Tage/Kunde, low-touch</v>
      </c>
      <c r="C41" s="7" t="str">
        <f>'1_Szenario'!F6&amp;" Tage/Kunde, medium"</f>
        <v>20 Tage/Kunde, medium</v>
      </c>
      <c r="D41" s="7" t="str">
        <f>'1_Szenario'!G6&amp;" Tage/Kunde, high-touch"</f>
        <v>30 Tage/Kunde, high-touch</v>
      </c>
      <c r="E41" s="7" t="s">
        <v>272</v>
      </c>
      <c r="F41" s="50" t="s">
        <v>273</v>
      </c>
    </row>
    <row r="42" ht="14.25" customHeight="1">
      <c r="A42" s="7" t="s">
        <v>274</v>
      </c>
      <c r="B42" s="7" t="s">
        <v>275</v>
      </c>
      <c r="C42" s="7" t="s">
        <v>276</v>
      </c>
      <c r="D42" s="7" t="s">
        <v>277</v>
      </c>
      <c r="E42" s="7" t="s">
        <v>278</v>
      </c>
      <c r="F42" s="50" t="s">
        <v>279</v>
      </c>
    </row>
    <row r="43" ht="14.25" customHeight="1">
      <c r="A43" s="7" t="s">
        <v>280</v>
      </c>
      <c r="B43" s="7" t="s">
        <v>281</v>
      </c>
      <c r="C43" s="7" t="s">
        <v>282</v>
      </c>
      <c r="D43" s="7" t="s">
        <v>283</v>
      </c>
      <c r="E43" s="7" t="s">
        <v>284</v>
      </c>
      <c r="F43" s="50" t="s">
        <v>285</v>
      </c>
    </row>
    <row r="44" ht="14.25" customHeight="1">
      <c r="A44" s="65" t="s">
        <v>286</v>
      </c>
      <c r="B44" s="66" t="str">
        <f>_xludf.CONCAT("M",'1_Szenario'!E4," Start → Revenue erst M",'1_Szenario'!E4+2,"+")</f>
        <v>#NAME?</v>
      </c>
      <c r="C44" s="66" t="str">
        <f>_xludf.CONCAT("M",'1_Szenario'!F4," Start → Revenue M",'1_Szenario'!F4+1,"+")</f>
        <v>#NAME?</v>
      </c>
      <c r="D44" s="66" t="str">
        <f>_xludf.CONCAT("M",'1_Szenario'!G4," Start → Revenue M",'1_Szenario'!G4+1,"+")</f>
        <v>#NAME?</v>
      </c>
      <c r="E44" s="7" t="s">
        <v>287</v>
      </c>
      <c r="F44" s="50" t="s">
        <v>288</v>
      </c>
    </row>
    <row r="45" ht="14.25" customHeight="1">
      <c r="A45" s="7" t="s">
        <v>289</v>
      </c>
      <c r="B45" s="7" t="s">
        <v>290</v>
      </c>
      <c r="C45" s="7" t="s">
        <v>291</v>
      </c>
      <c r="D45" s="7" t="s">
        <v>292</v>
      </c>
      <c r="E45" s="7" t="s">
        <v>293</v>
      </c>
      <c r="F45" s="50" t="s">
        <v>294</v>
      </c>
    </row>
    <row r="46" ht="14.25" customHeight="1">
      <c r="A46" s="7" t="s">
        <v>295</v>
      </c>
      <c r="B46" s="7" t="s">
        <v>296</v>
      </c>
      <c r="C46" s="7" t="s">
        <v>297</v>
      </c>
      <c r="D46" s="7" t="s">
        <v>298</v>
      </c>
      <c r="E46" s="7" t="s">
        <v>299</v>
      </c>
      <c r="F46" s="50" t="s">
        <v>300</v>
      </c>
    </row>
    <row r="47" ht="14.25" customHeight="1">
      <c r="A47" s="7" t="s">
        <v>301</v>
      </c>
      <c r="B47" s="7" t="s">
        <v>302</v>
      </c>
      <c r="C47" s="7" t="s">
        <v>303</v>
      </c>
      <c r="D47" s="7" t="s">
        <v>304</v>
      </c>
      <c r="E47" s="7" t="s">
        <v>305</v>
      </c>
      <c r="F47" s="50" t="s">
        <v>306</v>
      </c>
    </row>
    <row r="48" ht="14.25" customHeight="1">
      <c r="F48" s="50"/>
    </row>
    <row r="49" ht="14.25" customHeight="1">
      <c r="A49" s="51" t="s">
        <v>307</v>
      </c>
      <c r="B49" s="52"/>
      <c r="C49" s="52"/>
      <c r="D49" s="52"/>
      <c r="E49" s="52"/>
      <c r="F49" s="53"/>
    </row>
    <row r="50" ht="14.25" customHeight="1">
      <c r="A50" s="6" t="s">
        <v>308</v>
      </c>
      <c r="B50" s="6" t="s">
        <v>309</v>
      </c>
      <c r="C50" s="6" t="s">
        <v>227</v>
      </c>
      <c r="D50" s="6" t="s">
        <v>310</v>
      </c>
      <c r="F50" s="50"/>
    </row>
    <row r="51" ht="14.25" customHeight="1">
      <c r="A51" s="7" t="s">
        <v>311</v>
      </c>
      <c r="B51" s="7" t="s">
        <v>229</v>
      </c>
      <c r="C51" s="7" t="s">
        <v>312</v>
      </c>
      <c r="D51" s="7" t="s">
        <v>313</v>
      </c>
      <c r="F51" s="50"/>
    </row>
    <row r="52" ht="14.25" customHeight="1">
      <c r="A52" s="7" t="s">
        <v>314</v>
      </c>
      <c r="B52" s="7" t="s">
        <v>235</v>
      </c>
      <c r="C52" s="7" t="s">
        <v>312</v>
      </c>
      <c r="D52" s="7" t="s">
        <v>313</v>
      </c>
      <c r="F52" s="50"/>
    </row>
    <row r="53" ht="14.25" customHeight="1">
      <c r="A53" s="7" t="s">
        <v>315</v>
      </c>
      <c r="B53" s="7" t="s">
        <v>240</v>
      </c>
      <c r="C53" s="7" t="s">
        <v>312</v>
      </c>
      <c r="D53" s="7" t="s">
        <v>313</v>
      </c>
      <c r="F53" s="50"/>
    </row>
    <row r="54" ht="14.25" customHeight="1">
      <c r="A54" s="7" t="s">
        <v>316</v>
      </c>
      <c r="B54" s="7" t="s">
        <v>230</v>
      </c>
      <c r="C54" s="7" t="s">
        <v>279</v>
      </c>
      <c r="D54" s="7" t="s">
        <v>317</v>
      </c>
      <c r="F54" s="50"/>
    </row>
    <row r="55" ht="14.25" customHeight="1">
      <c r="A55" s="7" t="s">
        <v>318</v>
      </c>
      <c r="B55" s="7" t="s">
        <v>319</v>
      </c>
      <c r="C55" s="7" t="s">
        <v>279</v>
      </c>
      <c r="D55" s="7" t="s">
        <v>317</v>
      </c>
      <c r="F55" s="50"/>
    </row>
    <row r="56" ht="14.25" customHeight="1">
      <c r="A56" s="7" t="s">
        <v>320</v>
      </c>
      <c r="B56" s="7" t="s">
        <v>321</v>
      </c>
      <c r="C56" s="7" t="s">
        <v>279</v>
      </c>
      <c r="D56" s="7" t="s">
        <v>317</v>
      </c>
      <c r="F56" s="50"/>
    </row>
    <row r="57" ht="14.25" customHeight="1">
      <c r="A57" s="7" t="s">
        <v>322</v>
      </c>
      <c r="B57" s="7" t="s">
        <v>323</v>
      </c>
      <c r="C57" s="7" t="s">
        <v>324</v>
      </c>
      <c r="D57" s="7" t="s">
        <v>325</v>
      </c>
      <c r="F57" s="50"/>
    </row>
    <row r="58" ht="14.25" customHeight="1">
      <c r="A58" s="7" t="s">
        <v>326</v>
      </c>
      <c r="B58" s="7" t="s">
        <v>327</v>
      </c>
      <c r="C58" s="7" t="s">
        <v>324</v>
      </c>
      <c r="D58" s="7" t="s">
        <v>325</v>
      </c>
      <c r="F58" s="50"/>
    </row>
    <row r="59" ht="14.25" customHeight="1">
      <c r="A59" s="7" t="s">
        <v>328</v>
      </c>
      <c r="B59" s="7" t="s">
        <v>329</v>
      </c>
      <c r="C59" s="7" t="s">
        <v>279</v>
      </c>
      <c r="D59" s="7" t="s">
        <v>317</v>
      </c>
      <c r="F59" s="50"/>
    </row>
    <row r="60" ht="14.25" customHeight="1">
      <c r="A60" s="7" t="s">
        <v>330</v>
      </c>
      <c r="B60" s="7" t="s">
        <v>331</v>
      </c>
      <c r="C60" s="7" t="s">
        <v>324</v>
      </c>
      <c r="D60" s="7" t="s">
        <v>325</v>
      </c>
      <c r="F60" s="50"/>
    </row>
    <row r="61" ht="14.25" customHeight="1">
      <c r="F61" s="50"/>
    </row>
    <row r="62" ht="14.25" customHeight="1">
      <c r="F62" s="50"/>
    </row>
    <row r="63" ht="14.25" customHeight="1">
      <c r="F63" s="50"/>
    </row>
    <row r="64" ht="14.25" customHeight="1">
      <c r="F64" s="50"/>
    </row>
    <row r="65" ht="14.25" customHeight="1">
      <c r="F65" s="50"/>
    </row>
    <row r="66" ht="14.25" customHeight="1">
      <c r="F66" s="50"/>
    </row>
    <row r="67" ht="14.25" customHeight="1">
      <c r="F67" s="50"/>
    </row>
    <row r="68" ht="14.25" customHeight="1">
      <c r="F68" s="50"/>
    </row>
    <row r="69" ht="14.25" customHeight="1">
      <c r="F69" s="50"/>
    </row>
    <row r="70" ht="14.25" customHeight="1">
      <c r="F70" s="50"/>
    </row>
    <row r="71" ht="14.25" customHeight="1">
      <c r="F71" s="50"/>
    </row>
    <row r="72" ht="14.25" customHeight="1">
      <c r="F72" s="50"/>
    </row>
    <row r="73" ht="14.25" customHeight="1">
      <c r="F73" s="50"/>
    </row>
    <row r="74" ht="14.25" customHeight="1">
      <c r="F74" s="50"/>
    </row>
    <row r="75" ht="14.25" customHeight="1">
      <c r="F75" s="50"/>
    </row>
    <row r="76" ht="14.25" customHeight="1">
      <c r="F76" s="50"/>
    </row>
    <row r="77" ht="14.25" customHeight="1">
      <c r="F77" s="50"/>
    </row>
    <row r="78" ht="14.25" customHeight="1">
      <c r="F78" s="50"/>
    </row>
    <row r="79" ht="14.25" customHeight="1">
      <c r="F79" s="50"/>
    </row>
    <row r="80" ht="14.25" customHeight="1">
      <c r="F80" s="50"/>
    </row>
    <row r="81" ht="14.25" customHeight="1">
      <c r="F81" s="50"/>
    </row>
    <row r="82" ht="14.25" customHeight="1">
      <c r="F82" s="50"/>
    </row>
    <row r="83" ht="14.25" customHeight="1">
      <c r="F83" s="50"/>
    </row>
    <row r="84" ht="14.25" customHeight="1">
      <c r="F84" s="50"/>
    </row>
    <row r="85" ht="14.25" customHeight="1">
      <c r="F85" s="50"/>
    </row>
    <row r="86" ht="14.25" customHeight="1">
      <c r="F86" s="50"/>
    </row>
    <row r="87" ht="14.25" customHeight="1">
      <c r="F87" s="50"/>
    </row>
    <row r="88" ht="14.25" customHeight="1">
      <c r="F88" s="50"/>
    </row>
    <row r="89" ht="14.25" customHeight="1">
      <c r="F89" s="50"/>
    </row>
    <row r="90" ht="14.25" customHeight="1">
      <c r="F90" s="50"/>
    </row>
    <row r="91" ht="14.25" customHeight="1">
      <c r="F91" s="50"/>
    </row>
    <row r="92" ht="14.25" customHeight="1">
      <c r="F92" s="50"/>
    </row>
    <row r="93" ht="14.25" customHeight="1">
      <c r="F93" s="50"/>
    </row>
    <row r="94" ht="14.25" customHeight="1">
      <c r="F94" s="50"/>
    </row>
    <row r="95" ht="14.25" customHeight="1">
      <c r="F95" s="50"/>
    </row>
    <row r="96" ht="14.25" customHeight="1">
      <c r="F96" s="50"/>
    </row>
    <row r="97" ht="14.25" customHeight="1">
      <c r="F97" s="50"/>
    </row>
    <row r="98" ht="14.25" customHeight="1">
      <c r="F98" s="50"/>
    </row>
    <row r="99" ht="14.25" customHeight="1">
      <c r="F99" s="50"/>
    </row>
    <row r="100" ht="14.25" customHeight="1">
      <c r="F100" s="50"/>
    </row>
    <row r="101" ht="14.25" customHeight="1">
      <c r="F101" s="50"/>
    </row>
    <row r="102" ht="14.25" customHeight="1">
      <c r="F102" s="50"/>
    </row>
    <row r="103" ht="14.25" customHeight="1">
      <c r="F103" s="50"/>
    </row>
    <row r="104" ht="14.25" customHeight="1">
      <c r="F104" s="50"/>
    </row>
    <row r="105" ht="14.25" customHeight="1">
      <c r="F105" s="50"/>
    </row>
    <row r="106" ht="14.25" customHeight="1">
      <c r="F106" s="50"/>
    </row>
    <row r="107" ht="14.25" customHeight="1">
      <c r="F107" s="50"/>
    </row>
    <row r="108" ht="14.25" customHeight="1">
      <c r="F108" s="50"/>
    </row>
    <row r="109" ht="14.25" customHeight="1">
      <c r="F109" s="50"/>
    </row>
    <row r="110" ht="14.25" customHeight="1">
      <c r="F110" s="50"/>
    </row>
    <row r="111" ht="14.25" customHeight="1">
      <c r="F111" s="50"/>
    </row>
    <row r="112" ht="14.25" customHeight="1">
      <c r="F112" s="50"/>
    </row>
    <row r="113" ht="14.25" customHeight="1">
      <c r="F113" s="50"/>
    </row>
    <row r="114" ht="14.25" customHeight="1">
      <c r="F114" s="50"/>
    </row>
    <row r="115" ht="14.25" customHeight="1">
      <c r="F115" s="50"/>
    </row>
    <row r="116" ht="14.25" customHeight="1">
      <c r="F116" s="50"/>
    </row>
    <row r="117" ht="14.25" customHeight="1">
      <c r="F117" s="50"/>
    </row>
    <row r="118" ht="14.25" customHeight="1">
      <c r="F118" s="50"/>
    </row>
    <row r="119" ht="14.25" customHeight="1">
      <c r="F119" s="50"/>
    </row>
    <row r="120" ht="14.25" customHeight="1">
      <c r="F120" s="50"/>
    </row>
    <row r="121" ht="14.25" customHeight="1">
      <c r="F121" s="50"/>
    </row>
    <row r="122" ht="14.25" customHeight="1">
      <c r="F122" s="50"/>
    </row>
    <row r="123" ht="14.25" customHeight="1">
      <c r="F123" s="50"/>
    </row>
    <row r="124" ht="14.25" customHeight="1">
      <c r="F124" s="50"/>
    </row>
    <row r="125" ht="14.25" customHeight="1">
      <c r="F125" s="50"/>
    </row>
    <row r="126" ht="14.25" customHeight="1">
      <c r="F126" s="50"/>
    </row>
    <row r="127" ht="14.25" customHeight="1">
      <c r="F127" s="50"/>
    </row>
    <row r="128" ht="14.25" customHeight="1">
      <c r="F128" s="50"/>
    </row>
    <row r="129" ht="14.25" customHeight="1">
      <c r="F129" s="50"/>
    </row>
    <row r="130" ht="14.25" customHeight="1">
      <c r="F130" s="50"/>
    </row>
    <row r="131" ht="14.25" customHeight="1">
      <c r="F131" s="50"/>
    </row>
    <row r="132" ht="14.25" customHeight="1">
      <c r="F132" s="50"/>
    </row>
    <row r="133" ht="14.25" customHeight="1">
      <c r="F133" s="50"/>
    </row>
    <row r="134" ht="14.25" customHeight="1">
      <c r="F134" s="50"/>
    </row>
    <row r="135" ht="14.25" customHeight="1">
      <c r="F135" s="50"/>
    </row>
    <row r="136" ht="14.25" customHeight="1">
      <c r="F136" s="50"/>
    </row>
    <row r="137" ht="14.25" customHeight="1">
      <c r="F137" s="50"/>
    </row>
    <row r="138" ht="14.25" customHeight="1">
      <c r="F138" s="50"/>
    </row>
    <row r="139" ht="14.25" customHeight="1">
      <c r="F139" s="50"/>
    </row>
    <row r="140" ht="14.25" customHeight="1">
      <c r="F140" s="50"/>
    </row>
    <row r="141" ht="14.25" customHeight="1">
      <c r="F141" s="50"/>
    </row>
    <row r="142" ht="14.25" customHeight="1">
      <c r="F142" s="50"/>
    </row>
    <row r="143" ht="14.25" customHeight="1">
      <c r="F143" s="50"/>
    </row>
    <row r="144" ht="14.25" customHeight="1">
      <c r="F144" s="50"/>
    </row>
    <row r="145" ht="14.25" customHeight="1">
      <c r="F145" s="50"/>
    </row>
    <row r="146" ht="14.25" customHeight="1">
      <c r="F146" s="50"/>
    </row>
    <row r="147" ht="14.25" customHeight="1">
      <c r="F147" s="50"/>
    </row>
    <row r="148" ht="14.25" customHeight="1">
      <c r="F148" s="50"/>
    </row>
    <row r="149" ht="14.25" customHeight="1">
      <c r="F149" s="50"/>
    </row>
    <row r="150" ht="14.25" customHeight="1">
      <c r="F150" s="50"/>
    </row>
    <row r="151" ht="14.25" customHeight="1">
      <c r="F151" s="50"/>
    </row>
    <row r="152" ht="14.25" customHeight="1">
      <c r="F152" s="50"/>
    </row>
    <row r="153" ht="14.25" customHeight="1">
      <c r="F153" s="50"/>
    </row>
    <row r="154" ht="14.25" customHeight="1">
      <c r="F154" s="50"/>
    </row>
    <row r="155" ht="14.25" customHeight="1">
      <c r="F155" s="50"/>
    </row>
    <row r="156" ht="14.25" customHeight="1">
      <c r="F156" s="50"/>
    </row>
    <row r="157" ht="14.25" customHeight="1">
      <c r="F157" s="50"/>
    </row>
    <row r="158" ht="14.25" customHeight="1">
      <c r="F158" s="50"/>
    </row>
    <row r="159" ht="14.25" customHeight="1">
      <c r="F159" s="50"/>
    </row>
    <row r="160" ht="14.25" customHeight="1">
      <c r="F160" s="50"/>
    </row>
    <row r="161" ht="14.25" customHeight="1">
      <c r="F161" s="50"/>
    </row>
    <row r="162" ht="14.25" customHeight="1">
      <c r="F162" s="50"/>
    </row>
    <row r="163" ht="14.25" customHeight="1">
      <c r="F163" s="50"/>
    </row>
    <row r="164" ht="14.25" customHeight="1">
      <c r="F164" s="50"/>
    </row>
    <row r="165" ht="14.25" customHeight="1">
      <c r="F165" s="50"/>
    </row>
    <row r="166" ht="14.25" customHeight="1">
      <c r="F166" s="50"/>
    </row>
    <row r="167" ht="14.25" customHeight="1">
      <c r="F167" s="50"/>
    </row>
    <row r="168" ht="14.25" customHeight="1">
      <c r="F168" s="50"/>
    </row>
    <row r="169" ht="14.25" customHeight="1">
      <c r="F169" s="50"/>
    </row>
    <row r="170" ht="14.25" customHeight="1">
      <c r="F170" s="50"/>
    </row>
    <row r="171" ht="14.25" customHeight="1">
      <c r="F171" s="50"/>
    </row>
    <row r="172" ht="14.25" customHeight="1">
      <c r="F172" s="50"/>
    </row>
    <row r="173" ht="14.25" customHeight="1">
      <c r="F173" s="50"/>
    </row>
    <row r="174" ht="14.25" customHeight="1">
      <c r="F174" s="50"/>
    </row>
    <row r="175" ht="14.25" customHeight="1">
      <c r="F175" s="50"/>
    </row>
    <row r="176" ht="14.25" customHeight="1">
      <c r="F176" s="50"/>
    </row>
    <row r="177" ht="14.25" customHeight="1">
      <c r="F177" s="50"/>
    </row>
    <row r="178" ht="14.25" customHeight="1">
      <c r="F178" s="50"/>
    </row>
    <row r="179" ht="14.25" customHeight="1">
      <c r="F179" s="50"/>
    </row>
    <row r="180" ht="14.25" customHeight="1">
      <c r="F180" s="50"/>
    </row>
    <row r="181" ht="14.25" customHeight="1">
      <c r="F181" s="50"/>
    </row>
    <row r="182" ht="14.25" customHeight="1">
      <c r="F182" s="50"/>
    </row>
    <row r="183" ht="14.25" customHeight="1">
      <c r="F183" s="50"/>
    </row>
    <row r="184" ht="14.25" customHeight="1">
      <c r="F184" s="50"/>
    </row>
    <row r="185" ht="14.25" customHeight="1">
      <c r="F185" s="50"/>
    </row>
    <row r="186" ht="14.25" customHeight="1">
      <c r="F186" s="50"/>
    </row>
    <row r="187" ht="14.25" customHeight="1">
      <c r="F187" s="50"/>
    </row>
    <row r="188" ht="14.25" customHeight="1">
      <c r="F188" s="50"/>
    </row>
    <row r="189" ht="14.25" customHeight="1">
      <c r="F189" s="50"/>
    </row>
    <row r="190" ht="14.25" customHeight="1">
      <c r="F190" s="50"/>
    </row>
    <row r="191" ht="14.25" customHeight="1">
      <c r="F191" s="50"/>
    </row>
    <row r="192" ht="14.25" customHeight="1">
      <c r="F192" s="50"/>
    </row>
    <row r="193" ht="14.25" customHeight="1">
      <c r="F193" s="50"/>
    </row>
    <row r="194" ht="14.25" customHeight="1">
      <c r="F194" s="50"/>
    </row>
    <row r="195" ht="14.25" customHeight="1">
      <c r="F195" s="50"/>
    </row>
    <row r="196" ht="14.25" customHeight="1">
      <c r="F196" s="50"/>
    </row>
    <row r="197" ht="14.25" customHeight="1">
      <c r="F197" s="50"/>
    </row>
    <row r="198" ht="14.25" customHeight="1">
      <c r="F198" s="50"/>
    </row>
    <row r="199" ht="14.25" customHeight="1">
      <c r="F199" s="50"/>
    </row>
    <row r="200" ht="14.25" customHeight="1">
      <c r="F200" s="50"/>
    </row>
    <row r="201" ht="14.25" customHeight="1">
      <c r="F201" s="50"/>
    </row>
    <row r="202" ht="14.25" customHeight="1">
      <c r="F202" s="50"/>
    </row>
    <row r="203" ht="14.25" customHeight="1">
      <c r="F203" s="50"/>
    </row>
    <row r="204" ht="14.25" customHeight="1">
      <c r="F204" s="50"/>
    </row>
    <row r="205" ht="14.25" customHeight="1">
      <c r="F205" s="50"/>
    </row>
    <row r="206" ht="14.25" customHeight="1">
      <c r="F206" s="50"/>
    </row>
    <row r="207" ht="14.25" customHeight="1">
      <c r="F207" s="50"/>
    </row>
    <row r="208" ht="14.25" customHeight="1">
      <c r="F208" s="50"/>
    </row>
    <row r="209" ht="14.25" customHeight="1">
      <c r="F209" s="50"/>
    </row>
    <row r="210" ht="14.25" customHeight="1">
      <c r="F210" s="50"/>
    </row>
    <row r="211" ht="14.25" customHeight="1">
      <c r="F211" s="50"/>
    </row>
    <row r="212" ht="14.25" customHeight="1">
      <c r="F212" s="50"/>
    </row>
    <row r="213" ht="14.25" customHeight="1">
      <c r="F213" s="50"/>
    </row>
    <row r="214" ht="14.25" customHeight="1">
      <c r="F214" s="50"/>
    </row>
    <row r="215" ht="14.25" customHeight="1">
      <c r="F215" s="50"/>
    </row>
    <row r="216" ht="14.25" customHeight="1">
      <c r="F216" s="50"/>
    </row>
    <row r="217" ht="14.25" customHeight="1">
      <c r="F217" s="50"/>
    </row>
    <row r="218" ht="14.25" customHeight="1">
      <c r="F218" s="50"/>
    </row>
    <row r="219" ht="14.25" customHeight="1">
      <c r="F219" s="50"/>
    </row>
    <row r="220" ht="14.25" customHeight="1">
      <c r="F220" s="50"/>
    </row>
    <row r="221" ht="14.25" customHeight="1">
      <c r="F221" s="50"/>
    </row>
    <row r="222" ht="14.25" customHeight="1">
      <c r="F222" s="50"/>
    </row>
    <row r="223" ht="14.25" customHeight="1">
      <c r="F223" s="50"/>
    </row>
    <row r="224" ht="14.25" customHeight="1">
      <c r="F224" s="50"/>
    </row>
    <row r="225" ht="14.25" customHeight="1">
      <c r="F225" s="50"/>
    </row>
    <row r="226" ht="14.25" customHeight="1">
      <c r="F226" s="50"/>
    </row>
    <row r="227" ht="14.25" customHeight="1">
      <c r="F227" s="50"/>
    </row>
    <row r="228" ht="14.25" customHeight="1">
      <c r="F228" s="50"/>
    </row>
    <row r="229" ht="14.25" customHeight="1">
      <c r="F229" s="50"/>
    </row>
    <row r="230" ht="14.25" customHeight="1">
      <c r="F230" s="50"/>
    </row>
    <row r="231" ht="14.25" customHeight="1">
      <c r="F231" s="50"/>
    </row>
    <row r="232" ht="14.25" customHeight="1">
      <c r="F232" s="50"/>
    </row>
    <row r="233" ht="14.25" customHeight="1">
      <c r="F233" s="50"/>
    </row>
    <row r="234" ht="14.25" customHeight="1">
      <c r="F234" s="50"/>
    </row>
    <row r="235" ht="14.25" customHeight="1">
      <c r="F235" s="50"/>
    </row>
    <row r="236" ht="14.25" customHeight="1">
      <c r="F236" s="50"/>
    </row>
    <row r="237" ht="14.25" customHeight="1">
      <c r="F237" s="50"/>
    </row>
    <row r="238" ht="14.25" customHeight="1">
      <c r="F238" s="50"/>
    </row>
    <row r="239" ht="14.25" customHeight="1">
      <c r="F239" s="50"/>
    </row>
    <row r="240" ht="14.25" customHeight="1">
      <c r="F240" s="50"/>
    </row>
    <row r="241" ht="14.25" customHeight="1">
      <c r="F241" s="50"/>
    </row>
    <row r="242" ht="14.25" customHeight="1">
      <c r="F242" s="50"/>
    </row>
    <row r="243" ht="14.25" customHeight="1">
      <c r="F243" s="50"/>
    </row>
    <row r="244" ht="14.25" customHeight="1">
      <c r="F244" s="50"/>
    </row>
    <row r="245" ht="14.25" customHeight="1">
      <c r="F245" s="50"/>
    </row>
    <row r="246" ht="14.25" customHeight="1">
      <c r="F246" s="50"/>
    </row>
    <row r="247" ht="14.25" customHeight="1">
      <c r="F247" s="50"/>
    </row>
    <row r="248" ht="14.25" customHeight="1">
      <c r="F248" s="50"/>
    </row>
    <row r="249" ht="14.25" customHeight="1">
      <c r="F249" s="50"/>
    </row>
    <row r="250" ht="14.25" customHeight="1">
      <c r="F250" s="50"/>
    </row>
    <row r="251" ht="14.25" customHeight="1">
      <c r="F251" s="50"/>
    </row>
    <row r="252" ht="14.25" customHeight="1">
      <c r="F252" s="50"/>
    </row>
    <row r="253" ht="14.25" customHeight="1">
      <c r="F253" s="50"/>
    </row>
    <row r="254" ht="14.25" customHeight="1">
      <c r="F254" s="50"/>
    </row>
    <row r="255" ht="14.25" customHeight="1">
      <c r="F255" s="50"/>
    </row>
    <row r="256" ht="14.25" customHeight="1">
      <c r="F256" s="50"/>
    </row>
    <row r="257" ht="14.25" customHeight="1">
      <c r="F257" s="50"/>
    </row>
    <row r="258" ht="14.25" customHeight="1">
      <c r="F258" s="50"/>
    </row>
    <row r="259" ht="14.25" customHeight="1">
      <c r="F259" s="50"/>
    </row>
    <row r="260" ht="14.25" customHeight="1">
      <c r="F260" s="50"/>
    </row>
    <row r="261" ht="14.25" customHeight="1">
      <c r="F261" s="50"/>
    </row>
    <row r="262" ht="14.25" customHeight="1">
      <c r="F262" s="50"/>
    </row>
    <row r="263" ht="14.25" customHeight="1">
      <c r="F263" s="50"/>
    </row>
    <row r="264" ht="14.25" customHeight="1">
      <c r="F264" s="50"/>
    </row>
    <row r="265" ht="14.25" customHeight="1">
      <c r="F265" s="50"/>
    </row>
    <row r="266" ht="14.25" customHeight="1">
      <c r="F266" s="50"/>
    </row>
    <row r="267" ht="14.25" customHeight="1">
      <c r="F267" s="50"/>
    </row>
    <row r="268" ht="14.25" customHeight="1">
      <c r="F268" s="50"/>
    </row>
    <row r="269" ht="14.25" customHeight="1">
      <c r="F269" s="50"/>
    </row>
    <row r="270" ht="14.25" customHeight="1">
      <c r="F270" s="50"/>
    </row>
    <row r="271" ht="14.25" customHeight="1">
      <c r="F271" s="50"/>
    </row>
    <row r="272" ht="14.25" customHeight="1">
      <c r="F272" s="50"/>
    </row>
    <row r="273" ht="14.25" customHeight="1">
      <c r="F273" s="50"/>
    </row>
    <row r="274" ht="14.25" customHeight="1">
      <c r="F274" s="50"/>
    </row>
    <row r="275" ht="14.25" customHeight="1">
      <c r="F275" s="50"/>
    </row>
    <row r="276" ht="14.25" customHeight="1">
      <c r="F276" s="50"/>
    </row>
    <row r="277" ht="14.25" customHeight="1">
      <c r="F277" s="50"/>
    </row>
    <row r="278" ht="14.25" customHeight="1">
      <c r="F278" s="50"/>
    </row>
    <row r="279" ht="14.25" customHeight="1">
      <c r="F279" s="50"/>
    </row>
    <row r="280" ht="14.25" customHeight="1">
      <c r="F280" s="50"/>
    </row>
    <row r="281" ht="14.25" customHeight="1">
      <c r="F281" s="50"/>
    </row>
    <row r="282" ht="14.25" customHeight="1">
      <c r="F282" s="50"/>
    </row>
    <row r="283" ht="14.25" customHeight="1">
      <c r="F283" s="50"/>
    </row>
    <row r="284" ht="14.25" customHeight="1">
      <c r="F284" s="50"/>
    </row>
    <row r="285" ht="14.25" customHeight="1">
      <c r="F285" s="50"/>
    </row>
    <row r="286" ht="14.25" customHeight="1">
      <c r="F286" s="50"/>
    </row>
    <row r="287" ht="14.25" customHeight="1">
      <c r="F287" s="50"/>
    </row>
    <row r="288" ht="14.25" customHeight="1">
      <c r="F288" s="50"/>
    </row>
    <row r="289" ht="14.25" customHeight="1">
      <c r="F289" s="50"/>
    </row>
    <row r="290" ht="14.25" customHeight="1">
      <c r="F290" s="50"/>
    </row>
    <row r="291" ht="14.25" customHeight="1">
      <c r="F291" s="50"/>
    </row>
    <row r="292" ht="14.25" customHeight="1">
      <c r="F292" s="50"/>
    </row>
    <row r="293" ht="14.25" customHeight="1">
      <c r="F293" s="50"/>
    </row>
    <row r="294" ht="14.25" customHeight="1">
      <c r="F294" s="50"/>
    </row>
    <row r="295" ht="14.25" customHeight="1">
      <c r="F295" s="50"/>
    </row>
    <row r="296" ht="14.25" customHeight="1">
      <c r="F296" s="50"/>
    </row>
    <row r="297" ht="14.25" customHeight="1">
      <c r="F297" s="50"/>
    </row>
    <row r="298" ht="14.25" customHeight="1">
      <c r="F298" s="50"/>
    </row>
    <row r="299" ht="14.25" customHeight="1">
      <c r="F299" s="50"/>
    </row>
    <row r="300" ht="14.25" customHeight="1">
      <c r="F300" s="50"/>
    </row>
    <row r="301" ht="14.25" customHeight="1">
      <c r="F301" s="50"/>
    </row>
    <row r="302" ht="14.25" customHeight="1">
      <c r="F302" s="50"/>
    </row>
    <row r="303" ht="14.25" customHeight="1">
      <c r="F303" s="50"/>
    </row>
    <row r="304" ht="14.25" customHeight="1">
      <c r="F304" s="50"/>
    </row>
    <row r="305" ht="14.25" customHeight="1">
      <c r="F305" s="50"/>
    </row>
    <row r="306" ht="14.25" customHeight="1">
      <c r="F306" s="50"/>
    </row>
    <row r="307" ht="14.25" customHeight="1">
      <c r="F307" s="50"/>
    </row>
    <row r="308" ht="14.25" customHeight="1">
      <c r="F308" s="50"/>
    </row>
    <row r="309" ht="14.25" customHeight="1">
      <c r="F309" s="50"/>
    </row>
    <row r="310" ht="14.25" customHeight="1">
      <c r="F310" s="50"/>
    </row>
    <row r="311" ht="14.25" customHeight="1">
      <c r="F311" s="50"/>
    </row>
    <row r="312" ht="14.25" customHeight="1">
      <c r="F312" s="50"/>
    </row>
    <row r="313" ht="14.25" customHeight="1">
      <c r="F313" s="50"/>
    </row>
    <row r="314" ht="14.25" customHeight="1">
      <c r="F314" s="50"/>
    </row>
    <row r="315" ht="14.25" customHeight="1">
      <c r="F315" s="50"/>
    </row>
    <row r="316" ht="14.25" customHeight="1">
      <c r="F316" s="50"/>
    </row>
    <row r="317" ht="14.25" customHeight="1">
      <c r="F317" s="50"/>
    </row>
    <row r="318" ht="14.25" customHeight="1">
      <c r="F318" s="50"/>
    </row>
    <row r="319" ht="14.25" customHeight="1">
      <c r="F319" s="50"/>
    </row>
    <row r="320" ht="14.25" customHeight="1">
      <c r="F320" s="50"/>
    </row>
    <row r="321" ht="14.25" customHeight="1">
      <c r="F321" s="50"/>
    </row>
    <row r="322" ht="14.25" customHeight="1">
      <c r="F322" s="50"/>
    </row>
    <row r="323" ht="14.25" customHeight="1">
      <c r="F323" s="50"/>
    </row>
    <row r="324" ht="14.25" customHeight="1">
      <c r="F324" s="50"/>
    </row>
    <row r="325" ht="14.25" customHeight="1">
      <c r="F325" s="50"/>
    </row>
    <row r="326" ht="14.25" customHeight="1">
      <c r="F326" s="50"/>
    </row>
    <row r="327" ht="14.25" customHeight="1">
      <c r="F327" s="50"/>
    </row>
    <row r="328" ht="14.25" customHeight="1">
      <c r="F328" s="50"/>
    </row>
    <row r="329" ht="14.25" customHeight="1">
      <c r="F329" s="50"/>
    </row>
    <row r="330" ht="14.25" customHeight="1">
      <c r="F330" s="50"/>
    </row>
    <row r="331" ht="14.25" customHeight="1">
      <c r="F331" s="50"/>
    </row>
    <row r="332" ht="14.25" customHeight="1">
      <c r="F332" s="50"/>
    </row>
    <row r="333" ht="14.25" customHeight="1">
      <c r="F333" s="50"/>
    </row>
    <row r="334" ht="14.25" customHeight="1">
      <c r="F334" s="50"/>
    </row>
    <row r="335" ht="14.25" customHeight="1">
      <c r="F335" s="50"/>
    </row>
    <row r="336" ht="14.25" customHeight="1">
      <c r="F336" s="50"/>
    </row>
    <row r="337" ht="14.25" customHeight="1">
      <c r="F337" s="50"/>
    </row>
    <row r="338" ht="14.25" customHeight="1">
      <c r="F338" s="50"/>
    </row>
    <row r="339" ht="14.25" customHeight="1">
      <c r="F339" s="50"/>
    </row>
    <row r="340" ht="14.25" customHeight="1">
      <c r="F340" s="50"/>
    </row>
    <row r="341" ht="14.25" customHeight="1">
      <c r="F341" s="50"/>
    </row>
    <row r="342" ht="14.25" customHeight="1">
      <c r="F342" s="50"/>
    </row>
    <row r="343" ht="14.25" customHeight="1">
      <c r="F343" s="50"/>
    </row>
    <row r="344" ht="14.25" customHeight="1">
      <c r="F344" s="50"/>
    </row>
    <row r="345" ht="14.25" customHeight="1">
      <c r="F345" s="50"/>
    </row>
    <row r="346" ht="14.25" customHeight="1">
      <c r="F346" s="50"/>
    </row>
    <row r="347" ht="14.25" customHeight="1">
      <c r="F347" s="50"/>
    </row>
    <row r="348" ht="14.25" customHeight="1">
      <c r="F348" s="50"/>
    </row>
    <row r="349" ht="14.25" customHeight="1">
      <c r="F349" s="50"/>
    </row>
    <row r="350" ht="14.25" customHeight="1">
      <c r="F350" s="50"/>
    </row>
    <row r="351" ht="14.25" customHeight="1">
      <c r="F351" s="50"/>
    </row>
    <row r="352" ht="14.25" customHeight="1">
      <c r="F352" s="50"/>
    </row>
    <row r="353" ht="14.25" customHeight="1">
      <c r="F353" s="50"/>
    </row>
    <row r="354" ht="14.25" customHeight="1">
      <c r="F354" s="50"/>
    </row>
    <row r="355" ht="14.25" customHeight="1">
      <c r="F355" s="50"/>
    </row>
    <row r="356" ht="14.25" customHeight="1">
      <c r="F356" s="50"/>
    </row>
    <row r="357" ht="14.25" customHeight="1">
      <c r="F357" s="50"/>
    </row>
    <row r="358" ht="14.25" customHeight="1">
      <c r="F358" s="50"/>
    </row>
    <row r="359" ht="14.25" customHeight="1">
      <c r="F359" s="50"/>
    </row>
    <row r="360" ht="14.25" customHeight="1">
      <c r="F360" s="50"/>
    </row>
    <row r="361" ht="14.25" customHeight="1">
      <c r="F361" s="50"/>
    </row>
    <row r="362" ht="14.25" customHeight="1">
      <c r="F362" s="50"/>
    </row>
    <row r="363" ht="14.25" customHeight="1">
      <c r="F363" s="50"/>
    </row>
    <row r="364" ht="14.25" customHeight="1">
      <c r="F364" s="50"/>
    </row>
    <row r="365" ht="14.25" customHeight="1">
      <c r="F365" s="50"/>
    </row>
    <row r="366" ht="14.25" customHeight="1">
      <c r="F366" s="50"/>
    </row>
    <row r="367" ht="14.25" customHeight="1">
      <c r="F367" s="50"/>
    </row>
    <row r="368" ht="14.25" customHeight="1">
      <c r="F368" s="50"/>
    </row>
    <row r="369" ht="14.25" customHeight="1">
      <c r="F369" s="50"/>
    </row>
    <row r="370" ht="14.25" customHeight="1">
      <c r="F370" s="50"/>
    </row>
    <row r="371" ht="14.25" customHeight="1">
      <c r="F371" s="50"/>
    </row>
    <row r="372" ht="14.25" customHeight="1">
      <c r="F372" s="50"/>
    </row>
    <row r="373" ht="14.25" customHeight="1">
      <c r="F373" s="50"/>
    </row>
    <row r="374" ht="14.25" customHeight="1">
      <c r="F374" s="50"/>
    </row>
    <row r="375" ht="14.25" customHeight="1">
      <c r="F375" s="50"/>
    </row>
    <row r="376" ht="14.25" customHeight="1">
      <c r="F376" s="50"/>
    </row>
    <row r="377" ht="14.25" customHeight="1">
      <c r="F377" s="50"/>
    </row>
    <row r="378" ht="14.25" customHeight="1">
      <c r="F378" s="50"/>
    </row>
    <row r="379" ht="14.25" customHeight="1">
      <c r="F379" s="50"/>
    </row>
    <row r="380" ht="14.25" customHeight="1">
      <c r="F380" s="50"/>
    </row>
    <row r="381" ht="14.25" customHeight="1">
      <c r="F381" s="50"/>
    </row>
    <row r="382" ht="14.25" customHeight="1">
      <c r="F382" s="50"/>
    </row>
    <row r="383" ht="14.25" customHeight="1">
      <c r="F383" s="50"/>
    </row>
    <row r="384" ht="14.25" customHeight="1">
      <c r="F384" s="50"/>
    </row>
    <row r="385" ht="14.25" customHeight="1">
      <c r="F385" s="50"/>
    </row>
    <row r="386" ht="14.25" customHeight="1">
      <c r="F386" s="50"/>
    </row>
    <row r="387" ht="14.25" customHeight="1">
      <c r="F387" s="50"/>
    </row>
    <row r="388" ht="14.25" customHeight="1">
      <c r="F388" s="50"/>
    </row>
    <row r="389" ht="14.25" customHeight="1">
      <c r="F389" s="50"/>
    </row>
    <row r="390" ht="14.25" customHeight="1">
      <c r="F390" s="50"/>
    </row>
    <row r="391" ht="14.25" customHeight="1">
      <c r="F391" s="50"/>
    </row>
    <row r="392" ht="14.25" customHeight="1">
      <c r="F392" s="50"/>
    </row>
    <row r="393" ht="14.25" customHeight="1">
      <c r="F393" s="50"/>
    </row>
    <row r="394" ht="14.25" customHeight="1">
      <c r="F394" s="50"/>
    </row>
    <row r="395" ht="14.25" customHeight="1">
      <c r="F395" s="50"/>
    </row>
    <row r="396" ht="14.25" customHeight="1">
      <c r="F396" s="50"/>
    </row>
    <row r="397" ht="14.25" customHeight="1">
      <c r="F397" s="50"/>
    </row>
    <row r="398" ht="14.25" customHeight="1">
      <c r="F398" s="50"/>
    </row>
    <row r="399" ht="14.25" customHeight="1">
      <c r="F399" s="50"/>
    </row>
    <row r="400" ht="14.25" customHeight="1">
      <c r="F400" s="50"/>
    </row>
    <row r="401" ht="14.25" customHeight="1">
      <c r="F401" s="50"/>
    </row>
    <row r="402" ht="14.25" customHeight="1">
      <c r="F402" s="50"/>
    </row>
    <row r="403" ht="14.25" customHeight="1">
      <c r="F403" s="50"/>
    </row>
    <row r="404" ht="14.25" customHeight="1">
      <c r="F404" s="50"/>
    </row>
    <row r="405" ht="14.25" customHeight="1">
      <c r="F405" s="50"/>
    </row>
    <row r="406" ht="14.25" customHeight="1">
      <c r="F406" s="50"/>
    </row>
    <row r="407" ht="14.25" customHeight="1">
      <c r="F407" s="50"/>
    </row>
    <row r="408" ht="14.25" customHeight="1">
      <c r="F408" s="50"/>
    </row>
    <row r="409" ht="14.25" customHeight="1">
      <c r="F409" s="50"/>
    </row>
    <row r="410" ht="14.25" customHeight="1">
      <c r="F410" s="50"/>
    </row>
    <row r="411" ht="14.25" customHeight="1">
      <c r="F411" s="50"/>
    </row>
    <row r="412" ht="14.25" customHeight="1">
      <c r="F412" s="50"/>
    </row>
    <row r="413" ht="14.25" customHeight="1">
      <c r="F413" s="50"/>
    </row>
    <row r="414" ht="14.25" customHeight="1">
      <c r="F414" s="50"/>
    </row>
    <row r="415" ht="14.25" customHeight="1">
      <c r="F415" s="50"/>
    </row>
    <row r="416" ht="14.25" customHeight="1">
      <c r="F416" s="50"/>
    </row>
    <row r="417" ht="14.25" customHeight="1">
      <c r="F417" s="50"/>
    </row>
    <row r="418" ht="14.25" customHeight="1">
      <c r="F418" s="50"/>
    </row>
    <row r="419" ht="14.25" customHeight="1">
      <c r="F419" s="50"/>
    </row>
    <row r="420" ht="14.25" customHeight="1">
      <c r="F420" s="50"/>
    </row>
    <row r="421" ht="14.25" customHeight="1">
      <c r="F421" s="50"/>
    </row>
    <row r="422" ht="14.25" customHeight="1">
      <c r="F422" s="50"/>
    </row>
    <row r="423" ht="14.25" customHeight="1">
      <c r="F423" s="50"/>
    </row>
    <row r="424" ht="14.25" customHeight="1">
      <c r="F424" s="50"/>
    </row>
    <row r="425" ht="14.25" customHeight="1">
      <c r="F425" s="50"/>
    </row>
    <row r="426" ht="14.25" customHeight="1">
      <c r="F426" s="50"/>
    </row>
    <row r="427" ht="14.25" customHeight="1">
      <c r="F427" s="50"/>
    </row>
    <row r="428" ht="14.25" customHeight="1">
      <c r="F428" s="50"/>
    </row>
    <row r="429" ht="14.25" customHeight="1">
      <c r="F429" s="50"/>
    </row>
    <row r="430" ht="14.25" customHeight="1">
      <c r="F430" s="50"/>
    </row>
    <row r="431" ht="14.25" customHeight="1">
      <c r="F431" s="50"/>
    </row>
    <row r="432" ht="14.25" customHeight="1">
      <c r="F432" s="50"/>
    </row>
    <row r="433" ht="14.25" customHeight="1">
      <c r="F433" s="50"/>
    </row>
    <row r="434" ht="14.25" customHeight="1">
      <c r="F434" s="50"/>
    </row>
    <row r="435" ht="14.25" customHeight="1">
      <c r="F435" s="50"/>
    </row>
    <row r="436" ht="14.25" customHeight="1">
      <c r="F436" s="50"/>
    </row>
    <row r="437" ht="14.25" customHeight="1">
      <c r="F437" s="50"/>
    </row>
    <row r="438" ht="14.25" customHeight="1">
      <c r="F438" s="50"/>
    </row>
    <row r="439" ht="14.25" customHeight="1">
      <c r="F439" s="50"/>
    </row>
    <row r="440" ht="14.25" customHeight="1">
      <c r="F440" s="50"/>
    </row>
    <row r="441" ht="14.25" customHeight="1">
      <c r="F441" s="50"/>
    </row>
    <row r="442" ht="14.25" customHeight="1">
      <c r="F442" s="50"/>
    </row>
    <row r="443" ht="14.25" customHeight="1">
      <c r="F443" s="50"/>
    </row>
    <row r="444" ht="14.25" customHeight="1">
      <c r="F444" s="50"/>
    </row>
    <row r="445" ht="14.25" customHeight="1">
      <c r="F445" s="50"/>
    </row>
    <row r="446" ht="14.25" customHeight="1">
      <c r="F446" s="50"/>
    </row>
    <row r="447" ht="14.25" customHeight="1">
      <c r="F447" s="50"/>
    </row>
    <row r="448" ht="14.25" customHeight="1">
      <c r="F448" s="50"/>
    </row>
    <row r="449" ht="14.25" customHeight="1">
      <c r="F449" s="50"/>
    </row>
    <row r="450" ht="14.25" customHeight="1">
      <c r="F450" s="50"/>
    </row>
    <row r="451" ht="14.25" customHeight="1">
      <c r="F451" s="50"/>
    </row>
    <row r="452" ht="14.25" customHeight="1">
      <c r="F452" s="50"/>
    </row>
    <row r="453" ht="14.25" customHeight="1">
      <c r="F453" s="50"/>
    </row>
    <row r="454" ht="14.25" customHeight="1">
      <c r="F454" s="50"/>
    </row>
    <row r="455" ht="14.25" customHeight="1">
      <c r="F455" s="50"/>
    </row>
    <row r="456" ht="14.25" customHeight="1">
      <c r="F456" s="50"/>
    </row>
    <row r="457" ht="14.25" customHeight="1">
      <c r="F457" s="50"/>
    </row>
    <row r="458" ht="14.25" customHeight="1">
      <c r="F458" s="50"/>
    </row>
    <row r="459" ht="14.25" customHeight="1">
      <c r="F459" s="50"/>
    </row>
    <row r="460" ht="14.25" customHeight="1">
      <c r="F460" s="50"/>
    </row>
    <row r="461" ht="14.25" customHeight="1">
      <c r="F461" s="50"/>
    </row>
    <row r="462" ht="14.25" customHeight="1">
      <c r="F462" s="50"/>
    </row>
    <row r="463" ht="14.25" customHeight="1">
      <c r="F463" s="50"/>
    </row>
    <row r="464" ht="14.25" customHeight="1">
      <c r="F464" s="50"/>
    </row>
    <row r="465" ht="14.25" customHeight="1">
      <c r="F465" s="50"/>
    </row>
    <row r="466" ht="14.25" customHeight="1">
      <c r="F466" s="50"/>
    </row>
    <row r="467" ht="14.25" customHeight="1">
      <c r="F467" s="50"/>
    </row>
    <row r="468" ht="14.25" customHeight="1">
      <c r="F468" s="50"/>
    </row>
    <row r="469" ht="14.25" customHeight="1">
      <c r="F469" s="50"/>
    </row>
    <row r="470" ht="14.25" customHeight="1">
      <c r="F470" s="50"/>
    </row>
    <row r="471" ht="14.25" customHeight="1">
      <c r="F471" s="50"/>
    </row>
    <row r="472" ht="14.25" customHeight="1">
      <c r="F472" s="50"/>
    </row>
    <row r="473" ht="14.25" customHeight="1">
      <c r="F473" s="50"/>
    </row>
    <row r="474" ht="14.25" customHeight="1">
      <c r="F474" s="50"/>
    </row>
    <row r="475" ht="14.25" customHeight="1">
      <c r="F475" s="50"/>
    </row>
    <row r="476" ht="14.25" customHeight="1">
      <c r="F476" s="50"/>
    </row>
    <row r="477" ht="14.25" customHeight="1">
      <c r="F477" s="50"/>
    </row>
    <row r="478" ht="14.25" customHeight="1">
      <c r="F478" s="50"/>
    </row>
    <row r="479" ht="14.25" customHeight="1">
      <c r="F479" s="50"/>
    </row>
    <row r="480" ht="14.25" customHeight="1">
      <c r="F480" s="50"/>
    </row>
    <row r="481" ht="14.25" customHeight="1">
      <c r="F481" s="50"/>
    </row>
    <row r="482" ht="14.25" customHeight="1">
      <c r="F482" s="50"/>
    </row>
    <row r="483" ht="14.25" customHeight="1">
      <c r="F483" s="50"/>
    </row>
    <row r="484" ht="14.25" customHeight="1">
      <c r="F484" s="50"/>
    </row>
    <row r="485" ht="14.25" customHeight="1">
      <c r="F485" s="50"/>
    </row>
    <row r="486" ht="14.25" customHeight="1">
      <c r="F486" s="50"/>
    </row>
    <row r="487" ht="14.25" customHeight="1">
      <c r="F487" s="50"/>
    </row>
    <row r="488" ht="14.25" customHeight="1">
      <c r="F488" s="50"/>
    </row>
    <row r="489" ht="14.25" customHeight="1">
      <c r="F489" s="50"/>
    </row>
    <row r="490" ht="14.25" customHeight="1">
      <c r="F490" s="50"/>
    </row>
    <row r="491" ht="14.25" customHeight="1">
      <c r="F491" s="50"/>
    </row>
    <row r="492" ht="14.25" customHeight="1">
      <c r="F492" s="50"/>
    </row>
    <row r="493" ht="14.25" customHeight="1">
      <c r="F493" s="50"/>
    </row>
    <row r="494" ht="14.25" customHeight="1">
      <c r="F494" s="50"/>
    </row>
    <row r="495" ht="14.25" customHeight="1">
      <c r="F495" s="50"/>
    </row>
    <row r="496" ht="14.25" customHeight="1">
      <c r="F496" s="50"/>
    </row>
    <row r="497" ht="14.25" customHeight="1">
      <c r="F497" s="50"/>
    </row>
    <row r="498" ht="14.25" customHeight="1">
      <c r="F498" s="50"/>
    </row>
    <row r="499" ht="14.25" customHeight="1">
      <c r="F499" s="50"/>
    </row>
    <row r="500" ht="14.25" customHeight="1">
      <c r="F500" s="50"/>
    </row>
    <row r="501" ht="14.25" customHeight="1">
      <c r="F501" s="50"/>
    </row>
    <row r="502" ht="14.25" customHeight="1">
      <c r="F502" s="50"/>
    </row>
    <row r="503" ht="14.25" customHeight="1">
      <c r="F503" s="50"/>
    </row>
    <row r="504" ht="14.25" customHeight="1">
      <c r="F504" s="50"/>
    </row>
    <row r="505" ht="14.25" customHeight="1">
      <c r="F505" s="50"/>
    </row>
    <row r="506" ht="14.25" customHeight="1">
      <c r="F506" s="50"/>
    </row>
    <row r="507" ht="14.25" customHeight="1">
      <c r="F507" s="50"/>
    </row>
    <row r="508" ht="14.25" customHeight="1">
      <c r="F508" s="50"/>
    </row>
    <row r="509" ht="14.25" customHeight="1">
      <c r="F509" s="50"/>
    </row>
    <row r="510" ht="14.25" customHeight="1">
      <c r="F510" s="50"/>
    </row>
    <row r="511" ht="14.25" customHeight="1">
      <c r="F511" s="50"/>
    </row>
    <row r="512" ht="14.25" customHeight="1">
      <c r="F512" s="50"/>
    </row>
    <row r="513" ht="14.25" customHeight="1">
      <c r="F513" s="50"/>
    </row>
    <row r="514" ht="14.25" customHeight="1">
      <c r="F514" s="50"/>
    </row>
    <row r="515" ht="14.25" customHeight="1">
      <c r="F515" s="50"/>
    </row>
    <row r="516" ht="14.25" customHeight="1">
      <c r="F516" s="50"/>
    </row>
    <row r="517" ht="14.25" customHeight="1">
      <c r="F517" s="50"/>
    </row>
    <row r="518" ht="14.25" customHeight="1">
      <c r="F518" s="50"/>
    </row>
    <row r="519" ht="14.25" customHeight="1">
      <c r="F519" s="50"/>
    </row>
    <row r="520" ht="14.25" customHeight="1">
      <c r="F520" s="50"/>
    </row>
    <row r="521" ht="14.25" customHeight="1">
      <c r="F521" s="50"/>
    </row>
    <row r="522" ht="14.25" customHeight="1">
      <c r="F522" s="50"/>
    </row>
    <row r="523" ht="14.25" customHeight="1">
      <c r="F523" s="50"/>
    </row>
    <row r="524" ht="14.25" customHeight="1">
      <c r="F524" s="50"/>
    </row>
    <row r="525" ht="14.25" customHeight="1">
      <c r="F525" s="50"/>
    </row>
    <row r="526" ht="14.25" customHeight="1">
      <c r="F526" s="50"/>
    </row>
    <row r="527" ht="14.25" customHeight="1">
      <c r="F527" s="50"/>
    </row>
    <row r="528" ht="14.25" customHeight="1">
      <c r="F528" s="50"/>
    </row>
    <row r="529" ht="14.25" customHeight="1">
      <c r="F529" s="50"/>
    </row>
    <row r="530" ht="14.25" customHeight="1">
      <c r="F530" s="50"/>
    </row>
    <row r="531" ht="14.25" customHeight="1">
      <c r="F531" s="50"/>
    </row>
    <row r="532" ht="14.25" customHeight="1">
      <c r="F532" s="50"/>
    </row>
    <row r="533" ht="14.25" customHeight="1">
      <c r="F533" s="50"/>
    </row>
    <row r="534" ht="14.25" customHeight="1">
      <c r="F534" s="50"/>
    </row>
    <row r="535" ht="14.25" customHeight="1">
      <c r="F535" s="50"/>
    </row>
    <row r="536" ht="14.25" customHeight="1">
      <c r="F536" s="50"/>
    </row>
    <row r="537" ht="14.25" customHeight="1">
      <c r="F537" s="50"/>
    </row>
    <row r="538" ht="14.25" customHeight="1">
      <c r="F538" s="50"/>
    </row>
    <row r="539" ht="14.25" customHeight="1">
      <c r="F539" s="50"/>
    </row>
    <row r="540" ht="14.25" customHeight="1">
      <c r="F540" s="50"/>
    </row>
    <row r="541" ht="14.25" customHeight="1">
      <c r="F541" s="50"/>
    </row>
    <row r="542" ht="14.25" customHeight="1">
      <c r="F542" s="50"/>
    </row>
    <row r="543" ht="14.25" customHeight="1">
      <c r="F543" s="50"/>
    </row>
    <row r="544" ht="14.25" customHeight="1">
      <c r="F544" s="50"/>
    </row>
    <row r="545" ht="14.25" customHeight="1">
      <c r="F545" s="50"/>
    </row>
    <row r="546" ht="14.25" customHeight="1">
      <c r="F546" s="50"/>
    </row>
    <row r="547" ht="14.25" customHeight="1">
      <c r="F547" s="50"/>
    </row>
    <row r="548" ht="14.25" customHeight="1">
      <c r="F548" s="50"/>
    </row>
    <row r="549" ht="14.25" customHeight="1">
      <c r="F549" s="50"/>
    </row>
    <row r="550" ht="14.25" customHeight="1">
      <c r="F550" s="50"/>
    </row>
    <row r="551" ht="14.25" customHeight="1">
      <c r="F551" s="50"/>
    </row>
    <row r="552" ht="14.25" customHeight="1">
      <c r="F552" s="50"/>
    </row>
    <row r="553" ht="14.25" customHeight="1">
      <c r="F553" s="50"/>
    </row>
    <row r="554" ht="14.25" customHeight="1">
      <c r="F554" s="50"/>
    </row>
    <row r="555" ht="14.25" customHeight="1">
      <c r="F555" s="50"/>
    </row>
    <row r="556" ht="14.25" customHeight="1">
      <c r="F556" s="50"/>
    </row>
    <row r="557" ht="14.25" customHeight="1">
      <c r="F557" s="50"/>
    </row>
    <row r="558" ht="14.25" customHeight="1">
      <c r="F558" s="50"/>
    </row>
    <row r="559" ht="14.25" customHeight="1">
      <c r="F559" s="50"/>
    </row>
    <row r="560" ht="14.25" customHeight="1">
      <c r="F560" s="50"/>
    </row>
    <row r="561" ht="14.25" customHeight="1">
      <c r="F561" s="50"/>
    </row>
    <row r="562" ht="14.25" customHeight="1">
      <c r="F562" s="50"/>
    </row>
    <row r="563" ht="14.25" customHeight="1">
      <c r="F563" s="50"/>
    </row>
    <row r="564" ht="14.25" customHeight="1">
      <c r="F564" s="50"/>
    </row>
    <row r="565" ht="14.25" customHeight="1">
      <c r="F565" s="50"/>
    </row>
    <row r="566" ht="14.25" customHeight="1">
      <c r="F566" s="50"/>
    </row>
    <row r="567" ht="14.25" customHeight="1">
      <c r="F567" s="50"/>
    </row>
    <row r="568" ht="14.25" customHeight="1">
      <c r="F568" s="50"/>
    </row>
    <row r="569" ht="14.25" customHeight="1">
      <c r="F569" s="50"/>
    </row>
    <row r="570" ht="14.25" customHeight="1">
      <c r="F570" s="50"/>
    </row>
    <row r="571" ht="14.25" customHeight="1">
      <c r="F571" s="50"/>
    </row>
    <row r="572" ht="14.25" customHeight="1">
      <c r="F572" s="50"/>
    </row>
    <row r="573" ht="14.25" customHeight="1">
      <c r="F573" s="50"/>
    </row>
    <row r="574" ht="14.25" customHeight="1">
      <c r="F574" s="50"/>
    </row>
    <row r="575" ht="14.25" customHeight="1">
      <c r="F575" s="50"/>
    </row>
    <row r="576" ht="14.25" customHeight="1">
      <c r="F576" s="50"/>
    </row>
    <row r="577" ht="14.25" customHeight="1">
      <c r="F577" s="50"/>
    </row>
    <row r="578" ht="14.25" customHeight="1">
      <c r="F578" s="50"/>
    </row>
    <row r="579" ht="14.25" customHeight="1">
      <c r="F579" s="50"/>
    </row>
    <row r="580" ht="14.25" customHeight="1">
      <c r="F580" s="50"/>
    </row>
    <row r="581" ht="14.25" customHeight="1">
      <c r="F581" s="50"/>
    </row>
    <row r="582" ht="14.25" customHeight="1">
      <c r="F582" s="50"/>
    </row>
    <row r="583" ht="14.25" customHeight="1">
      <c r="F583" s="50"/>
    </row>
    <row r="584" ht="14.25" customHeight="1">
      <c r="F584" s="50"/>
    </row>
    <row r="585" ht="14.25" customHeight="1">
      <c r="F585" s="50"/>
    </row>
    <row r="586" ht="14.25" customHeight="1">
      <c r="F586" s="50"/>
    </row>
    <row r="587" ht="14.25" customHeight="1">
      <c r="F587" s="50"/>
    </row>
    <row r="588" ht="14.25" customHeight="1">
      <c r="F588" s="50"/>
    </row>
    <row r="589" ht="14.25" customHeight="1">
      <c r="F589" s="50"/>
    </row>
    <row r="590" ht="14.25" customHeight="1">
      <c r="F590" s="50"/>
    </row>
    <row r="591" ht="14.25" customHeight="1">
      <c r="F591" s="50"/>
    </row>
    <row r="592" ht="14.25" customHeight="1">
      <c r="F592" s="50"/>
    </row>
    <row r="593" ht="14.25" customHeight="1">
      <c r="F593" s="50"/>
    </row>
    <row r="594" ht="14.25" customHeight="1">
      <c r="F594" s="50"/>
    </row>
    <row r="595" ht="14.25" customHeight="1">
      <c r="F595" s="50"/>
    </row>
    <row r="596" ht="14.25" customHeight="1">
      <c r="F596" s="50"/>
    </row>
    <row r="597" ht="14.25" customHeight="1">
      <c r="F597" s="50"/>
    </row>
    <row r="598" ht="14.25" customHeight="1">
      <c r="F598" s="50"/>
    </row>
    <row r="599" ht="14.25" customHeight="1">
      <c r="F599" s="50"/>
    </row>
    <row r="600" ht="14.25" customHeight="1">
      <c r="F600" s="50"/>
    </row>
    <row r="601" ht="14.25" customHeight="1">
      <c r="F601" s="50"/>
    </row>
    <row r="602" ht="14.25" customHeight="1">
      <c r="F602" s="50"/>
    </row>
    <row r="603" ht="14.25" customHeight="1">
      <c r="F603" s="50"/>
    </row>
    <row r="604" ht="14.25" customHeight="1">
      <c r="F604" s="50"/>
    </row>
    <row r="605" ht="14.25" customHeight="1">
      <c r="F605" s="50"/>
    </row>
    <row r="606" ht="14.25" customHeight="1">
      <c r="F606" s="50"/>
    </row>
    <row r="607" ht="14.25" customHeight="1">
      <c r="F607" s="50"/>
    </row>
    <row r="608" ht="14.25" customHeight="1">
      <c r="F608" s="50"/>
    </row>
    <row r="609" ht="14.25" customHeight="1">
      <c r="F609" s="50"/>
    </row>
    <row r="610" ht="14.25" customHeight="1">
      <c r="F610" s="50"/>
    </row>
    <row r="611" ht="14.25" customHeight="1">
      <c r="F611" s="50"/>
    </row>
    <row r="612" ht="14.25" customHeight="1">
      <c r="F612" s="50"/>
    </row>
    <row r="613" ht="14.25" customHeight="1">
      <c r="F613" s="50"/>
    </row>
    <row r="614" ht="14.25" customHeight="1">
      <c r="F614" s="50"/>
    </row>
    <row r="615" ht="14.25" customHeight="1">
      <c r="F615" s="50"/>
    </row>
    <row r="616" ht="14.25" customHeight="1">
      <c r="F616" s="50"/>
    </row>
    <row r="617" ht="14.25" customHeight="1">
      <c r="F617" s="50"/>
    </row>
    <row r="618" ht="14.25" customHeight="1">
      <c r="F618" s="50"/>
    </row>
    <row r="619" ht="14.25" customHeight="1">
      <c r="F619" s="50"/>
    </row>
    <row r="620" ht="14.25" customHeight="1">
      <c r="F620" s="50"/>
    </row>
    <row r="621" ht="14.25" customHeight="1">
      <c r="F621" s="50"/>
    </row>
    <row r="622" ht="14.25" customHeight="1">
      <c r="F622" s="50"/>
    </row>
    <row r="623" ht="14.25" customHeight="1">
      <c r="F623" s="50"/>
    </row>
    <row r="624" ht="14.25" customHeight="1">
      <c r="F624" s="50"/>
    </row>
    <row r="625" ht="14.25" customHeight="1">
      <c r="F625" s="50"/>
    </row>
    <row r="626" ht="14.25" customHeight="1">
      <c r="F626" s="50"/>
    </row>
    <row r="627" ht="14.25" customHeight="1">
      <c r="F627" s="50"/>
    </row>
    <row r="628" ht="14.25" customHeight="1">
      <c r="F628" s="50"/>
    </row>
    <row r="629" ht="14.25" customHeight="1">
      <c r="F629" s="50"/>
    </row>
    <row r="630" ht="14.25" customHeight="1">
      <c r="F630" s="50"/>
    </row>
    <row r="631" ht="14.25" customHeight="1">
      <c r="F631" s="50"/>
    </row>
    <row r="632" ht="14.25" customHeight="1">
      <c r="F632" s="50"/>
    </row>
    <row r="633" ht="14.25" customHeight="1">
      <c r="F633" s="50"/>
    </row>
    <row r="634" ht="14.25" customHeight="1">
      <c r="F634" s="50"/>
    </row>
    <row r="635" ht="14.25" customHeight="1">
      <c r="F635" s="50"/>
    </row>
    <row r="636" ht="14.25" customHeight="1">
      <c r="F636" s="50"/>
    </row>
    <row r="637" ht="14.25" customHeight="1">
      <c r="F637" s="50"/>
    </row>
    <row r="638" ht="14.25" customHeight="1">
      <c r="F638" s="50"/>
    </row>
    <row r="639" ht="14.25" customHeight="1">
      <c r="F639" s="50"/>
    </row>
    <row r="640" ht="14.25" customHeight="1">
      <c r="F640" s="50"/>
    </row>
    <row r="641" ht="14.25" customHeight="1">
      <c r="F641" s="50"/>
    </row>
    <row r="642" ht="14.25" customHeight="1">
      <c r="F642" s="50"/>
    </row>
    <row r="643" ht="14.25" customHeight="1">
      <c r="F643" s="50"/>
    </row>
    <row r="644" ht="14.25" customHeight="1">
      <c r="F644" s="50"/>
    </row>
    <row r="645" ht="14.25" customHeight="1">
      <c r="F645" s="50"/>
    </row>
    <row r="646" ht="14.25" customHeight="1">
      <c r="F646" s="50"/>
    </row>
    <row r="647" ht="14.25" customHeight="1">
      <c r="F647" s="50"/>
    </row>
    <row r="648" ht="14.25" customHeight="1">
      <c r="F648" s="50"/>
    </row>
    <row r="649" ht="14.25" customHeight="1">
      <c r="F649" s="50"/>
    </row>
    <row r="650" ht="14.25" customHeight="1">
      <c r="F650" s="50"/>
    </row>
    <row r="651" ht="14.25" customHeight="1">
      <c r="F651" s="50"/>
    </row>
    <row r="652" ht="14.25" customHeight="1">
      <c r="F652" s="50"/>
    </row>
    <row r="653" ht="14.25" customHeight="1">
      <c r="F653" s="50"/>
    </row>
    <row r="654" ht="14.25" customHeight="1">
      <c r="F654" s="50"/>
    </row>
    <row r="655" ht="14.25" customHeight="1">
      <c r="F655" s="50"/>
    </row>
    <row r="656" ht="14.25" customHeight="1">
      <c r="F656" s="50"/>
    </row>
    <row r="657" ht="14.25" customHeight="1">
      <c r="F657" s="50"/>
    </row>
    <row r="658" ht="14.25" customHeight="1">
      <c r="F658" s="50"/>
    </row>
    <row r="659" ht="14.25" customHeight="1">
      <c r="F659" s="50"/>
    </row>
    <row r="660" ht="14.25" customHeight="1">
      <c r="F660" s="50"/>
    </row>
    <row r="661" ht="14.25" customHeight="1">
      <c r="F661" s="50"/>
    </row>
    <row r="662" ht="14.25" customHeight="1">
      <c r="F662" s="50"/>
    </row>
    <row r="663" ht="14.25" customHeight="1">
      <c r="F663" s="50"/>
    </row>
    <row r="664" ht="14.25" customHeight="1">
      <c r="F664" s="50"/>
    </row>
    <row r="665" ht="14.25" customHeight="1">
      <c r="F665" s="50"/>
    </row>
    <row r="666" ht="14.25" customHeight="1">
      <c r="F666" s="50"/>
    </row>
    <row r="667" ht="14.25" customHeight="1">
      <c r="F667" s="50"/>
    </row>
    <row r="668" ht="14.25" customHeight="1">
      <c r="F668" s="50"/>
    </row>
    <row r="669" ht="14.25" customHeight="1">
      <c r="F669" s="50"/>
    </row>
    <row r="670" ht="14.25" customHeight="1">
      <c r="F670" s="50"/>
    </row>
    <row r="671" ht="14.25" customHeight="1">
      <c r="F671" s="50"/>
    </row>
    <row r="672" ht="14.25" customHeight="1">
      <c r="F672" s="50"/>
    </row>
    <row r="673" ht="14.25" customHeight="1">
      <c r="F673" s="50"/>
    </row>
    <row r="674" ht="14.25" customHeight="1">
      <c r="F674" s="50"/>
    </row>
    <row r="675" ht="14.25" customHeight="1">
      <c r="F675" s="50"/>
    </row>
    <row r="676" ht="14.25" customHeight="1">
      <c r="F676" s="50"/>
    </row>
    <row r="677" ht="14.25" customHeight="1">
      <c r="F677" s="50"/>
    </row>
    <row r="678" ht="14.25" customHeight="1">
      <c r="F678" s="50"/>
    </row>
    <row r="679" ht="14.25" customHeight="1">
      <c r="F679" s="50"/>
    </row>
    <row r="680" ht="14.25" customHeight="1">
      <c r="F680" s="50"/>
    </row>
    <row r="681" ht="14.25" customHeight="1">
      <c r="F681" s="50"/>
    </row>
    <row r="682" ht="14.25" customHeight="1">
      <c r="F682" s="50"/>
    </row>
    <row r="683" ht="14.25" customHeight="1">
      <c r="F683" s="50"/>
    </row>
    <row r="684" ht="14.25" customHeight="1">
      <c r="F684" s="50"/>
    </row>
    <row r="685" ht="14.25" customHeight="1">
      <c r="F685" s="50"/>
    </row>
    <row r="686" ht="14.25" customHeight="1">
      <c r="F686" s="50"/>
    </row>
    <row r="687" ht="14.25" customHeight="1">
      <c r="F687" s="50"/>
    </row>
    <row r="688" ht="14.25" customHeight="1">
      <c r="F688" s="50"/>
    </row>
    <row r="689" ht="14.25" customHeight="1">
      <c r="F689" s="50"/>
    </row>
    <row r="690" ht="14.25" customHeight="1">
      <c r="F690" s="50"/>
    </row>
    <row r="691" ht="14.25" customHeight="1">
      <c r="F691" s="50"/>
    </row>
    <row r="692" ht="14.25" customHeight="1">
      <c r="F692" s="50"/>
    </row>
    <row r="693" ht="14.25" customHeight="1">
      <c r="F693" s="50"/>
    </row>
    <row r="694" ht="14.25" customHeight="1">
      <c r="F694" s="50"/>
    </row>
    <row r="695" ht="14.25" customHeight="1">
      <c r="F695" s="50"/>
    </row>
    <row r="696" ht="14.25" customHeight="1">
      <c r="F696" s="50"/>
    </row>
    <row r="697" ht="14.25" customHeight="1">
      <c r="F697" s="50"/>
    </row>
    <row r="698" ht="14.25" customHeight="1">
      <c r="F698" s="50"/>
    </row>
    <row r="699" ht="14.25" customHeight="1">
      <c r="F699" s="50"/>
    </row>
    <row r="700" ht="14.25" customHeight="1">
      <c r="F700" s="50"/>
    </row>
    <row r="701" ht="14.25" customHeight="1">
      <c r="F701" s="50"/>
    </row>
    <row r="702" ht="14.25" customHeight="1">
      <c r="F702" s="50"/>
    </row>
    <row r="703" ht="14.25" customHeight="1">
      <c r="F703" s="50"/>
    </row>
    <row r="704" ht="14.25" customHeight="1">
      <c r="F704" s="50"/>
    </row>
    <row r="705" ht="14.25" customHeight="1">
      <c r="F705" s="50"/>
    </row>
    <row r="706" ht="14.25" customHeight="1">
      <c r="F706" s="50"/>
    </row>
    <row r="707" ht="14.25" customHeight="1">
      <c r="F707" s="50"/>
    </row>
    <row r="708" ht="14.25" customHeight="1">
      <c r="F708" s="50"/>
    </row>
    <row r="709" ht="14.25" customHeight="1">
      <c r="F709" s="50"/>
    </row>
    <row r="710" ht="14.25" customHeight="1">
      <c r="F710" s="50"/>
    </row>
    <row r="711" ht="14.25" customHeight="1">
      <c r="F711" s="50"/>
    </row>
    <row r="712" ht="14.25" customHeight="1">
      <c r="F712" s="50"/>
    </row>
    <row r="713" ht="14.25" customHeight="1">
      <c r="F713" s="50"/>
    </row>
    <row r="714" ht="14.25" customHeight="1">
      <c r="F714" s="50"/>
    </row>
    <row r="715" ht="14.25" customHeight="1">
      <c r="F715" s="50"/>
    </row>
    <row r="716" ht="14.25" customHeight="1">
      <c r="F716" s="50"/>
    </row>
    <row r="717" ht="14.25" customHeight="1">
      <c r="F717" s="50"/>
    </row>
    <row r="718" ht="14.25" customHeight="1">
      <c r="F718" s="50"/>
    </row>
    <row r="719" ht="14.25" customHeight="1">
      <c r="F719" s="50"/>
    </row>
    <row r="720" ht="14.25" customHeight="1">
      <c r="F720" s="50"/>
    </row>
    <row r="721" ht="14.25" customHeight="1">
      <c r="F721" s="50"/>
    </row>
    <row r="722" ht="14.25" customHeight="1">
      <c r="F722" s="50"/>
    </row>
    <row r="723" ht="14.25" customHeight="1">
      <c r="F723" s="50"/>
    </row>
    <row r="724" ht="14.25" customHeight="1">
      <c r="F724" s="50"/>
    </row>
    <row r="725" ht="14.25" customHeight="1">
      <c r="F725" s="50"/>
    </row>
    <row r="726" ht="14.25" customHeight="1">
      <c r="F726" s="50"/>
    </row>
    <row r="727" ht="14.25" customHeight="1">
      <c r="F727" s="50"/>
    </row>
    <row r="728" ht="14.25" customHeight="1">
      <c r="F728" s="50"/>
    </row>
    <row r="729" ht="14.25" customHeight="1">
      <c r="F729" s="50"/>
    </row>
    <row r="730" ht="14.25" customHeight="1">
      <c r="F730" s="50"/>
    </row>
    <row r="731" ht="14.25" customHeight="1">
      <c r="F731" s="50"/>
    </row>
    <row r="732" ht="14.25" customHeight="1">
      <c r="F732" s="50"/>
    </row>
    <row r="733" ht="14.25" customHeight="1">
      <c r="F733" s="50"/>
    </row>
    <row r="734" ht="14.25" customHeight="1">
      <c r="F734" s="50"/>
    </row>
    <row r="735" ht="14.25" customHeight="1">
      <c r="F735" s="50"/>
    </row>
    <row r="736" ht="14.25" customHeight="1">
      <c r="F736" s="50"/>
    </row>
    <row r="737" ht="14.25" customHeight="1">
      <c r="F737" s="50"/>
    </row>
    <row r="738" ht="14.25" customHeight="1">
      <c r="F738" s="50"/>
    </row>
    <row r="739" ht="14.25" customHeight="1">
      <c r="F739" s="50"/>
    </row>
    <row r="740" ht="14.25" customHeight="1">
      <c r="F740" s="50"/>
    </row>
    <row r="741" ht="14.25" customHeight="1">
      <c r="F741" s="50"/>
    </row>
    <row r="742" ht="14.25" customHeight="1">
      <c r="F742" s="50"/>
    </row>
    <row r="743" ht="14.25" customHeight="1">
      <c r="F743" s="50"/>
    </row>
    <row r="744" ht="14.25" customHeight="1">
      <c r="F744" s="50"/>
    </row>
    <row r="745" ht="14.25" customHeight="1">
      <c r="F745" s="50"/>
    </row>
    <row r="746" ht="14.25" customHeight="1">
      <c r="F746" s="50"/>
    </row>
    <row r="747" ht="14.25" customHeight="1">
      <c r="F747" s="50"/>
    </row>
    <row r="748" ht="14.25" customHeight="1">
      <c r="F748" s="50"/>
    </row>
    <row r="749" ht="14.25" customHeight="1">
      <c r="F749" s="50"/>
    </row>
    <row r="750" ht="14.25" customHeight="1">
      <c r="F750" s="50"/>
    </row>
    <row r="751" ht="14.25" customHeight="1">
      <c r="F751" s="50"/>
    </row>
    <row r="752" ht="14.25" customHeight="1">
      <c r="F752" s="50"/>
    </row>
    <row r="753" ht="14.25" customHeight="1">
      <c r="F753" s="50"/>
    </row>
    <row r="754" ht="14.25" customHeight="1">
      <c r="F754" s="50"/>
    </row>
    <row r="755" ht="14.25" customHeight="1">
      <c r="F755" s="50"/>
    </row>
    <row r="756" ht="14.25" customHeight="1">
      <c r="F756" s="50"/>
    </row>
    <row r="757" ht="14.25" customHeight="1">
      <c r="F757" s="50"/>
    </row>
    <row r="758" ht="14.25" customHeight="1">
      <c r="F758" s="50"/>
    </row>
    <row r="759" ht="14.25" customHeight="1">
      <c r="F759" s="50"/>
    </row>
    <row r="760" ht="14.25" customHeight="1">
      <c r="F760" s="50"/>
    </row>
    <row r="761" ht="14.25" customHeight="1">
      <c r="F761" s="50"/>
    </row>
    <row r="762" ht="14.25" customHeight="1">
      <c r="F762" s="50"/>
    </row>
    <row r="763" ht="14.25" customHeight="1">
      <c r="F763" s="50"/>
    </row>
    <row r="764" ht="14.25" customHeight="1">
      <c r="F764" s="50"/>
    </row>
    <row r="765" ht="14.25" customHeight="1">
      <c r="F765" s="50"/>
    </row>
    <row r="766" ht="14.25" customHeight="1">
      <c r="F766" s="50"/>
    </row>
    <row r="767" ht="14.25" customHeight="1">
      <c r="F767" s="50"/>
    </row>
    <row r="768" ht="14.25" customHeight="1">
      <c r="F768" s="50"/>
    </row>
    <row r="769" ht="14.25" customHeight="1">
      <c r="F769" s="50"/>
    </row>
    <row r="770" ht="14.25" customHeight="1">
      <c r="F770" s="50"/>
    </row>
    <row r="771" ht="14.25" customHeight="1">
      <c r="F771" s="50"/>
    </row>
    <row r="772" ht="14.25" customHeight="1">
      <c r="F772" s="50"/>
    </row>
    <row r="773" ht="14.25" customHeight="1">
      <c r="F773" s="50"/>
    </row>
    <row r="774" ht="14.25" customHeight="1">
      <c r="F774" s="50"/>
    </row>
    <row r="775" ht="14.25" customHeight="1">
      <c r="F775" s="50"/>
    </row>
    <row r="776" ht="14.25" customHeight="1">
      <c r="F776" s="50"/>
    </row>
    <row r="777" ht="14.25" customHeight="1">
      <c r="F777" s="50"/>
    </row>
    <row r="778" ht="14.25" customHeight="1">
      <c r="F778" s="50"/>
    </row>
    <row r="779" ht="14.25" customHeight="1">
      <c r="F779" s="50"/>
    </row>
    <row r="780" ht="14.25" customHeight="1">
      <c r="F780" s="50"/>
    </row>
    <row r="781" ht="14.25" customHeight="1">
      <c r="F781" s="50"/>
    </row>
    <row r="782" ht="14.25" customHeight="1">
      <c r="F782" s="50"/>
    </row>
    <row r="783" ht="14.25" customHeight="1">
      <c r="F783" s="50"/>
    </row>
    <row r="784" ht="14.25" customHeight="1">
      <c r="F784" s="50"/>
    </row>
    <row r="785" ht="14.25" customHeight="1">
      <c r="F785" s="50"/>
    </row>
    <row r="786" ht="14.25" customHeight="1">
      <c r="F786" s="50"/>
    </row>
    <row r="787" ht="14.25" customHeight="1">
      <c r="F787" s="50"/>
    </row>
    <row r="788" ht="14.25" customHeight="1">
      <c r="F788" s="50"/>
    </row>
    <row r="789" ht="14.25" customHeight="1">
      <c r="F789" s="50"/>
    </row>
    <row r="790" ht="14.25" customHeight="1">
      <c r="F790" s="50"/>
    </row>
    <row r="791" ht="14.25" customHeight="1">
      <c r="F791" s="50"/>
    </row>
    <row r="792" ht="14.25" customHeight="1">
      <c r="F792" s="50"/>
    </row>
    <row r="793" ht="14.25" customHeight="1">
      <c r="F793" s="50"/>
    </row>
    <row r="794" ht="14.25" customHeight="1">
      <c r="F794" s="50"/>
    </row>
    <row r="795" ht="14.25" customHeight="1">
      <c r="F795" s="50"/>
    </row>
    <row r="796" ht="14.25" customHeight="1">
      <c r="F796" s="50"/>
    </row>
    <row r="797" ht="14.25" customHeight="1">
      <c r="F797" s="50"/>
    </row>
    <row r="798" ht="14.25" customHeight="1">
      <c r="F798" s="50"/>
    </row>
    <row r="799" ht="14.25" customHeight="1">
      <c r="F799" s="50"/>
    </row>
    <row r="800" ht="14.25" customHeight="1">
      <c r="F800" s="50"/>
    </row>
    <row r="801" ht="14.25" customHeight="1">
      <c r="F801" s="50"/>
    </row>
    <row r="802" ht="14.25" customHeight="1">
      <c r="F802" s="50"/>
    </row>
    <row r="803" ht="14.25" customHeight="1">
      <c r="F803" s="50"/>
    </row>
    <row r="804" ht="14.25" customHeight="1">
      <c r="F804" s="50"/>
    </row>
    <row r="805" ht="14.25" customHeight="1">
      <c r="F805" s="50"/>
    </row>
    <row r="806" ht="14.25" customHeight="1">
      <c r="F806" s="50"/>
    </row>
    <row r="807" ht="14.25" customHeight="1">
      <c r="F807" s="50"/>
    </row>
    <row r="808" ht="14.25" customHeight="1">
      <c r="F808" s="50"/>
    </row>
    <row r="809" ht="14.25" customHeight="1">
      <c r="F809" s="50"/>
    </row>
    <row r="810" ht="14.25" customHeight="1">
      <c r="F810" s="50"/>
    </row>
    <row r="811" ht="14.25" customHeight="1">
      <c r="F811" s="50"/>
    </row>
    <row r="812" ht="14.25" customHeight="1">
      <c r="F812" s="50"/>
    </row>
    <row r="813" ht="14.25" customHeight="1">
      <c r="F813" s="50"/>
    </row>
    <row r="814" ht="14.25" customHeight="1">
      <c r="F814" s="50"/>
    </row>
    <row r="815" ht="14.25" customHeight="1">
      <c r="F815" s="50"/>
    </row>
    <row r="816" ht="14.25" customHeight="1">
      <c r="F816" s="50"/>
    </row>
    <row r="817" ht="14.25" customHeight="1">
      <c r="F817" s="50"/>
    </row>
    <row r="818" ht="14.25" customHeight="1">
      <c r="F818" s="50"/>
    </row>
    <row r="819" ht="14.25" customHeight="1">
      <c r="F819" s="50"/>
    </row>
    <row r="820" ht="14.25" customHeight="1">
      <c r="F820" s="50"/>
    </row>
    <row r="821" ht="14.25" customHeight="1">
      <c r="F821" s="50"/>
    </row>
    <row r="822" ht="14.25" customHeight="1">
      <c r="F822" s="50"/>
    </row>
    <row r="823" ht="14.25" customHeight="1">
      <c r="F823" s="50"/>
    </row>
    <row r="824" ht="14.25" customHeight="1">
      <c r="F824" s="50"/>
    </row>
    <row r="825" ht="14.25" customHeight="1">
      <c r="F825" s="50"/>
    </row>
    <row r="826" ht="14.25" customHeight="1">
      <c r="F826" s="50"/>
    </row>
    <row r="827" ht="14.25" customHeight="1">
      <c r="F827" s="50"/>
    </row>
    <row r="828" ht="14.25" customHeight="1">
      <c r="F828" s="50"/>
    </row>
    <row r="829" ht="14.25" customHeight="1">
      <c r="F829" s="50"/>
    </row>
    <row r="830" ht="14.25" customHeight="1">
      <c r="F830" s="50"/>
    </row>
    <row r="831" ht="14.25" customHeight="1">
      <c r="F831" s="50"/>
    </row>
    <row r="832" ht="14.25" customHeight="1">
      <c r="F832" s="50"/>
    </row>
    <row r="833" ht="14.25" customHeight="1">
      <c r="F833" s="50"/>
    </row>
    <row r="834" ht="14.25" customHeight="1">
      <c r="F834" s="50"/>
    </row>
    <row r="835" ht="14.25" customHeight="1">
      <c r="F835" s="50"/>
    </row>
    <row r="836" ht="14.25" customHeight="1">
      <c r="F836" s="50"/>
    </row>
    <row r="837" ht="14.25" customHeight="1">
      <c r="F837" s="50"/>
    </row>
    <row r="838" ht="14.25" customHeight="1">
      <c r="F838" s="50"/>
    </row>
    <row r="839" ht="14.25" customHeight="1">
      <c r="F839" s="50"/>
    </row>
    <row r="840" ht="14.25" customHeight="1">
      <c r="F840" s="50"/>
    </row>
    <row r="841" ht="14.25" customHeight="1">
      <c r="F841" s="50"/>
    </row>
    <row r="842" ht="14.25" customHeight="1">
      <c r="F842" s="50"/>
    </row>
    <row r="843" ht="14.25" customHeight="1">
      <c r="F843" s="50"/>
    </row>
    <row r="844" ht="14.25" customHeight="1">
      <c r="F844" s="50"/>
    </row>
    <row r="845" ht="14.25" customHeight="1">
      <c r="F845" s="50"/>
    </row>
    <row r="846" ht="14.25" customHeight="1">
      <c r="F846" s="50"/>
    </row>
    <row r="847" ht="14.25" customHeight="1">
      <c r="F847" s="50"/>
    </row>
    <row r="848" ht="14.25" customHeight="1">
      <c r="F848" s="50"/>
    </row>
    <row r="849" ht="14.25" customHeight="1">
      <c r="F849" s="50"/>
    </row>
    <row r="850" ht="14.25" customHeight="1">
      <c r="F850" s="50"/>
    </row>
    <row r="851" ht="14.25" customHeight="1">
      <c r="F851" s="50"/>
    </row>
    <row r="852" ht="14.25" customHeight="1">
      <c r="F852" s="50"/>
    </row>
    <row r="853" ht="14.25" customHeight="1">
      <c r="F853" s="50"/>
    </row>
    <row r="854" ht="14.25" customHeight="1">
      <c r="F854" s="50"/>
    </row>
    <row r="855" ht="14.25" customHeight="1">
      <c r="F855" s="50"/>
    </row>
    <row r="856" ht="14.25" customHeight="1">
      <c r="F856" s="50"/>
    </row>
    <row r="857" ht="14.25" customHeight="1">
      <c r="F857" s="50"/>
    </row>
    <row r="858" ht="14.25" customHeight="1">
      <c r="F858" s="50"/>
    </row>
    <row r="859" ht="14.25" customHeight="1">
      <c r="F859" s="50"/>
    </row>
    <row r="860" ht="14.25" customHeight="1">
      <c r="F860" s="50"/>
    </row>
    <row r="861" ht="14.25" customHeight="1">
      <c r="F861" s="50"/>
    </row>
    <row r="862" ht="14.25" customHeight="1">
      <c r="F862" s="50"/>
    </row>
    <row r="863" ht="14.25" customHeight="1">
      <c r="F863" s="50"/>
    </row>
    <row r="864" ht="14.25" customHeight="1">
      <c r="F864" s="50"/>
    </row>
    <row r="865" ht="14.25" customHeight="1">
      <c r="F865" s="50"/>
    </row>
    <row r="866" ht="14.25" customHeight="1">
      <c r="F866" s="50"/>
    </row>
    <row r="867" ht="14.25" customHeight="1">
      <c r="F867" s="50"/>
    </row>
    <row r="868" ht="14.25" customHeight="1">
      <c r="F868" s="50"/>
    </row>
    <row r="869" ht="14.25" customHeight="1">
      <c r="F869" s="50"/>
    </row>
    <row r="870" ht="14.25" customHeight="1">
      <c r="F870" s="50"/>
    </row>
    <row r="871" ht="14.25" customHeight="1">
      <c r="F871" s="50"/>
    </row>
    <row r="872" ht="14.25" customHeight="1">
      <c r="F872" s="50"/>
    </row>
    <row r="873" ht="14.25" customHeight="1">
      <c r="F873" s="50"/>
    </row>
    <row r="874" ht="14.25" customHeight="1">
      <c r="F874" s="50"/>
    </row>
    <row r="875" ht="14.25" customHeight="1">
      <c r="F875" s="50"/>
    </row>
    <row r="876" ht="14.25" customHeight="1">
      <c r="F876" s="50"/>
    </row>
    <row r="877" ht="14.25" customHeight="1">
      <c r="F877" s="50"/>
    </row>
    <row r="878" ht="14.25" customHeight="1">
      <c r="F878" s="50"/>
    </row>
    <row r="879" ht="14.25" customHeight="1">
      <c r="F879" s="50"/>
    </row>
    <row r="880" ht="14.25" customHeight="1">
      <c r="F880" s="50"/>
    </row>
    <row r="881" ht="14.25" customHeight="1">
      <c r="F881" s="50"/>
    </row>
    <row r="882" ht="14.25" customHeight="1">
      <c r="F882" s="50"/>
    </row>
    <row r="883" ht="14.25" customHeight="1">
      <c r="F883" s="50"/>
    </row>
    <row r="884" ht="14.25" customHeight="1">
      <c r="F884" s="50"/>
    </row>
    <row r="885" ht="14.25" customHeight="1">
      <c r="F885" s="50"/>
    </row>
    <row r="886" ht="14.25" customHeight="1">
      <c r="F886" s="50"/>
    </row>
    <row r="887" ht="14.25" customHeight="1">
      <c r="F887" s="50"/>
    </row>
    <row r="888" ht="14.25" customHeight="1">
      <c r="F888" s="50"/>
    </row>
    <row r="889" ht="14.25" customHeight="1">
      <c r="F889" s="50"/>
    </row>
    <row r="890" ht="14.25" customHeight="1">
      <c r="F890" s="50"/>
    </row>
    <row r="891" ht="14.25" customHeight="1">
      <c r="F891" s="50"/>
    </row>
    <row r="892" ht="14.25" customHeight="1">
      <c r="F892" s="50"/>
    </row>
    <row r="893" ht="14.25" customHeight="1">
      <c r="F893" s="50"/>
    </row>
    <row r="894" ht="14.25" customHeight="1">
      <c r="F894" s="50"/>
    </row>
    <row r="895" ht="14.25" customHeight="1">
      <c r="F895" s="50"/>
    </row>
    <row r="896" ht="14.25" customHeight="1">
      <c r="F896" s="50"/>
    </row>
    <row r="897" ht="14.25" customHeight="1">
      <c r="F897" s="50"/>
    </row>
    <row r="898" ht="14.25" customHeight="1">
      <c r="F898" s="50"/>
    </row>
    <row r="899" ht="14.25" customHeight="1">
      <c r="F899" s="50"/>
    </row>
    <row r="900" ht="14.25" customHeight="1">
      <c r="F900" s="50"/>
    </row>
    <row r="901" ht="14.25" customHeight="1">
      <c r="F901" s="50"/>
    </row>
    <row r="902" ht="14.25" customHeight="1">
      <c r="F902" s="50"/>
    </row>
    <row r="903" ht="14.25" customHeight="1">
      <c r="F903" s="50"/>
    </row>
    <row r="904" ht="14.25" customHeight="1">
      <c r="F904" s="50"/>
    </row>
    <row r="905" ht="14.25" customHeight="1">
      <c r="F905" s="50"/>
    </row>
    <row r="906" ht="14.25" customHeight="1">
      <c r="F906" s="50"/>
    </row>
    <row r="907" ht="14.25" customHeight="1">
      <c r="F907" s="50"/>
    </row>
    <row r="908" ht="14.25" customHeight="1">
      <c r="F908" s="50"/>
    </row>
    <row r="909" ht="14.25" customHeight="1">
      <c r="F909" s="50"/>
    </row>
    <row r="910" ht="14.25" customHeight="1">
      <c r="F910" s="50"/>
    </row>
    <row r="911" ht="14.25" customHeight="1">
      <c r="F911" s="50"/>
    </row>
    <row r="912" ht="14.25" customHeight="1">
      <c r="F912" s="50"/>
    </row>
    <row r="913" ht="14.25" customHeight="1">
      <c r="F913" s="50"/>
    </row>
    <row r="914" ht="14.25" customHeight="1">
      <c r="F914" s="50"/>
    </row>
    <row r="915" ht="14.25" customHeight="1">
      <c r="F915" s="50"/>
    </row>
    <row r="916" ht="14.25" customHeight="1">
      <c r="F916" s="50"/>
    </row>
    <row r="917" ht="14.25" customHeight="1">
      <c r="F917" s="50"/>
    </row>
    <row r="918" ht="14.25" customHeight="1">
      <c r="F918" s="50"/>
    </row>
    <row r="919" ht="14.25" customHeight="1">
      <c r="F919" s="50"/>
    </row>
    <row r="920" ht="14.25" customHeight="1">
      <c r="F920" s="50"/>
    </row>
    <row r="921" ht="14.25" customHeight="1">
      <c r="F921" s="50"/>
    </row>
    <row r="922" ht="14.25" customHeight="1">
      <c r="F922" s="50"/>
    </row>
    <row r="923" ht="14.25" customHeight="1">
      <c r="F923" s="50"/>
    </row>
    <row r="924" ht="14.25" customHeight="1">
      <c r="F924" s="50"/>
    </row>
    <row r="925" ht="14.25" customHeight="1">
      <c r="F925" s="50"/>
    </row>
    <row r="926" ht="14.25" customHeight="1">
      <c r="F926" s="50"/>
    </row>
    <row r="927" ht="14.25" customHeight="1">
      <c r="F927" s="50"/>
    </row>
    <row r="928" ht="14.25" customHeight="1">
      <c r="F928" s="50"/>
    </row>
    <row r="929" ht="14.25" customHeight="1">
      <c r="F929" s="50"/>
    </row>
    <row r="930" ht="14.25" customHeight="1">
      <c r="F930" s="50"/>
    </row>
    <row r="931" ht="14.25" customHeight="1">
      <c r="F931" s="50"/>
    </row>
    <row r="932" ht="14.25" customHeight="1">
      <c r="F932" s="50"/>
    </row>
    <row r="933" ht="14.25" customHeight="1">
      <c r="F933" s="50"/>
    </row>
    <row r="934" ht="14.25" customHeight="1">
      <c r="F934" s="50"/>
    </row>
    <row r="935" ht="14.25" customHeight="1">
      <c r="F935" s="50"/>
    </row>
    <row r="936" ht="14.25" customHeight="1">
      <c r="F936" s="50"/>
    </row>
    <row r="937" ht="14.25" customHeight="1">
      <c r="F937" s="50"/>
    </row>
    <row r="938" ht="14.25" customHeight="1">
      <c r="F938" s="50"/>
    </row>
    <row r="939" ht="14.25" customHeight="1">
      <c r="F939" s="50"/>
    </row>
    <row r="940" ht="14.25" customHeight="1">
      <c r="F940" s="50"/>
    </row>
    <row r="941" ht="14.25" customHeight="1">
      <c r="F941" s="50"/>
    </row>
    <row r="942" ht="14.25" customHeight="1">
      <c r="F942" s="50"/>
    </row>
    <row r="943" ht="14.25" customHeight="1">
      <c r="F943" s="50"/>
    </row>
    <row r="944" ht="14.25" customHeight="1">
      <c r="F944" s="50"/>
    </row>
    <row r="945" ht="14.25" customHeight="1">
      <c r="F945" s="50"/>
    </row>
    <row r="946" ht="14.25" customHeight="1">
      <c r="F946" s="50"/>
    </row>
    <row r="947" ht="14.25" customHeight="1">
      <c r="F947" s="50"/>
    </row>
    <row r="948" ht="14.25" customHeight="1">
      <c r="F948" s="50"/>
    </row>
    <row r="949" ht="14.25" customHeight="1">
      <c r="F949" s="50"/>
    </row>
    <row r="950" ht="14.25" customHeight="1">
      <c r="F950" s="50"/>
    </row>
    <row r="951" ht="14.25" customHeight="1">
      <c r="F951" s="50"/>
    </row>
    <row r="952" ht="14.25" customHeight="1">
      <c r="F952" s="50"/>
    </row>
    <row r="953" ht="14.25" customHeight="1">
      <c r="F953" s="50"/>
    </row>
    <row r="954" ht="14.25" customHeight="1">
      <c r="F954" s="50"/>
    </row>
    <row r="955" ht="14.25" customHeight="1">
      <c r="F955" s="50"/>
    </row>
    <row r="956" ht="14.25" customHeight="1">
      <c r="F956" s="50"/>
    </row>
    <row r="957" ht="14.25" customHeight="1">
      <c r="F957" s="50"/>
    </row>
    <row r="958" ht="14.25" customHeight="1">
      <c r="F958" s="50"/>
    </row>
    <row r="959" ht="14.25" customHeight="1">
      <c r="F959" s="50"/>
    </row>
    <row r="960" ht="14.25" customHeight="1">
      <c r="F960" s="50"/>
    </row>
    <row r="961" ht="14.25" customHeight="1">
      <c r="F961" s="50"/>
    </row>
    <row r="962" ht="14.25" customHeight="1">
      <c r="F962" s="50"/>
    </row>
    <row r="963" ht="14.25" customHeight="1">
      <c r="F963" s="50"/>
    </row>
    <row r="964" ht="14.25" customHeight="1">
      <c r="F964" s="50"/>
    </row>
    <row r="965" ht="14.25" customHeight="1">
      <c r="F965" s="50"/>
    </row>
    <row r="966" ht="14.25" customHeight="1">
      <c r="F966" s="50"/>
    </row>
    <row r="967" ht="14.25" customHeight="1">
      <c r="F967" s="50"/>
    </row>
    <row r="968" ht="14.25" customHeight="1">
      <c r="F968" s="50"/>
    </row>
    <row r="969" ht="14.25" customHeight="1">
      <c r="F969" s="50"/>
    </row>
    <row r="970" ht="14.25" customHeight="1">
      <c r="F970" s="50"/>
    </row>
    <row r="971" ht="14.25" customHeight="1">
      <c r="F971" s="50"/>
    </row>
    <row r="972" ht="14.25" customHeight="1">
      <c r="F972" s="50"/>
    </row>
    <row r="973" ht="14.25" customHeight="1">
      <c r="F973" s="50"/>
    </row>
    <row r="974" ht="14.25" customHeight="1">
      <c r="F974" s="50"/>
    </row>
    <row r="975" ht="14.25" customHeight="1">
      <c r="F975" s="50"/>
    </row>
    <row r="976" ht="14.25" customHeight="1">
      <c r="F976" s="50"/>
    </row>
    <row r="977" ht="14.25" customHeight="1">
      <c r="F977" s="50"/>
    </row>
    <row r="978" ht="14.25" customHeight="1">
      <c r="F978" s="50"/>
    </row>
    <row r="979" ht="14.25" customHeight="1">
      <c r="F979" s="50"/>
    </row>
    <row r="980" ht="14.25" customHeight="1">
      <c r="F980" s="50"/>
    </row>
    <row r="981" ht="14.25" customHeight="1">
      <c r="F981" s="50"/>
    </row>
    <row r="982" ht="14.25" customHeight="1">
      <c r="F982" s="50"/>
    </row>
    <row r="983" ht="14.25" customHeight="1">
      <c r="F983" s="50"/>
    </row>
    <row r="984" ht="14.25" customHeight="1">
      <c r="F984" s="50"/>
    </row>
    <row r="985" ht="14.25" customHeight="1">
      <c r="F985" s="50"/>
    </row>
    <row r="986" ht="14.25" customHeight="1">
      <c r="F986" s="50"/>
    </row>
    <row r="987" ht="14.25" customHeight="1">
      <c r="F987" s="50"/>
    </row>
    <row r="988" ht="14.25" customHeight="1">
      <c r="F988" s="50"/>
    </row>
    <row r="989" ht="14.25" customHeight="1">
      <c r="F989" s="50"/>
    </row>
    <row r="990" ht="14.25" customHeight="1">
      <c r="F990" s="50"/>
    </row>
    <row r="991" ht="14.25" customHeight="1">
      <c r="F991" s="50"/>
    </row>
    <row r="992" ht="14.25" customHeight="1">
      <c r="F992" s="50"/>
    </row>
    <row r="993" ht="14.25" customHeight="1">
      <c r="F993" s="50"/>
    </row>
    <row r="994" ht="14.25" customHeight="1">
      <c r="F994" s="50"/>
    </row>
    <row r="995" ht="14.25" customHeight="1">
      <c r="F995" s="50"/>
    </row>
    <row r="996" ht="14.25" customHeight="1">
      <c r="F996" s="50"/>
    </row>
    <row r="997" ht="14.25" customHeight="1">
      <c r="F997" s="50"/>
    </row>
    <row r="998" ht="14.25" customHeight="1">
      <c r="F998" s="50"/>
    </row>
    <row r="999" ht="14.25" customHeight="1">
      <c r="F999" s="50"/>
    </row>
    <row r="1000" ht="14.25" customHeight="1">
      <c r="F1000" s="50"/>
    </row>
  </sheetData>
  <printOptions/>
  <pageMargins bottom="0.787401575" footer="0.0" header="0.0" left="0.7" right="0.7" top="0.7874015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20.0"/>
    <col customWidth="1" min="3" max="3" width="26.43"/>
    <col customWidth="1" min="4" max="4" width="20.0"/>
    <col customWidth="1" min="5" max="5" width="27.57"/>
    <col customWidth="1" min="6" max="53" width="10.71"/>
  </cols>
  <sheetData>
    <row r="1" ht="14.25" customHeight="1">
      <c r="A1" s="12" t="s">
        <v>332</v>
      </c>
      <c r="B1" s="18" t="s">
        <v>333</v>
      </c>
      <c r="C1" s="67" t="s">
        <v>334</v>
      </c>
      <c r="D1" s="67" t="s">
        <v>227</v>
      </c>
    </row>
    <row r="2" ht="14.25" customHeight="1">
      <c r="A2" s="6" t="s">
        <v>335</v>
      </c>
      <c r="B2" s="68"/>
      <c r="C2" s="68"/>
      <c r="D2" s="68"/>
    </row>
    <row r="3" ht="14.25" customHeight="1">
      <c r="A3" s="7" t="s">
        <v>336</v>
      </c>
      <c r="B3" s="69" t="s">
        <v>337</v>
      </c>
      <c r="C3" s="70" t="s">
        <v>338</v>
      </c>
    </row>
    <row r="4" ht="14.25" customHeight="1">
      <c r="A4" s="7" t="s">
        <v>339</v>
      </c>
      <c r="B4" s="71">
        <v>46113.0</v>
      </c>
      <c r="C4" s="70" t="s">
        <v>340</v>
      </c>
    </row>
    <row r="5" ht="14.25" customHeight="1">
      <c r="A5" s="7" t="s">
        <v>341</v>
      </c>
      <c r="B5" s="69" t="s">
        <v>342</v>
      </c>
    </row>
    <row r="6" ht="14.25" customHeight="1">
      <c r="A6" s="7" t="s">
        <v>343</v>
      </c>
      <c r="B6" s="72">
        <v>0.3</v>
      </c>
      <c r="C6" s="70" t="s">
        <v>344</v>
      </c>
    </row>
    <row r="7" ht="14.25" customHeight="1"/>
    <row r="8" ht="14.25" customHeight="1">
      <c r="A8" s="6" t="s">
        <v>345</v>
      </c>
      <c r="B8" s="68"/>
      <c r="C8" s="68"/>
      <c r="D8" s="68"/>
    </row>
    <row r="9" ht="14.25" customHeight="1">
      <c r="A9" s="7" t="s">
        <v>346</v>
      </c>
      <c r="B9" s="73">
        <v>120000.0</v>
      </c>
      <c r="C9" s="70" t="s">
        <v>347</v>
      </c>
      <c r="D9" s="74" t="s">
        <v>348</v>
      </c>
    </row>
    <row r="10" ht="14.25" customHeight="1">
      <c r="A10" s="7" t="s">
        <v>349</v>
      </c>
      <c r="B10" s="75">
        <v>4.0</v>
      </c>
    </row>
    <row r="11" ht="14.25" customHeight="1">
      <c r="A11" s="7" t="s">
        <v>350</v>
      </c>
      <c r="B11" s="73">
        <v>0.0</v>
      </c>
      <c r="C11" s="70" t="s">
        <v>347</v>
      </c>
      <c r="D11" s="74" t="s">
        <v>351</v>
      </c>
    </row>
    <row r="12" ht="14.25" customHeight="1">
      <c r="A12" s="7" t="s">
        <v>352</v>
      </c>
      <c r="B12" s="75">
        <v>0.0</v>
      </c>
    </row>
    <row r="13" ht="14.25" customHeight="1">
      <c r="A13" s="7" t="s">
        <v>353</v>
      </c>
      <c r="B13" s="73">
        <v>2000000.0</v>
      </c>
      <c r="C13" s="70" t="s">
        <v>347</v>
      </c>
    </row>
    <row r="14" ht="14.25" customHeight="1">
      <c r="A14" s="7" t="s">
        <v>354</v>
      </c>
      <c r="B14" s="76">
        <v>17.0</v>
      </c>
    </row>
    <row r="15" ht="14.25" customHeight="1">
      <c r="A15" s="7" t="s">
        <v>355</v>
      </c>
      <c r="B15" s="77">
        <v>1.0E7</v>
      </c>
      <c r="C15" s="70" t="s">
        <v>347</v>
      </c>
    </row>
    <row r="16" ht="14.25" customHeight="1">
      <c r="A16" s="7" t="s">
        <v>356</v>
      </c>
      <c r="B16" s="75">
        <v>29.0</v>
      </c>
    </row>
    <row r="17" ht="14.25" customHeight="1">
      <c r="A17" s="6" t="s">
        <v>357</v>
      </c>
      <c r="B17" s="76"/>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row>
    <row r="18" ht="14.25" customHeight="1">
      <c r="A18" s="7" t="s">
        <v>358</v>
      </c>
      <c r="B18" s="73">
        <v>200000.0</v>
      </c>
      <c r="C18" s="70" t="s">
        <v>347</v>
      </c>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row>
    <row r="19" ht="14.25" customHeight="1">
      <c r="A19" s="7" t="s">
        <v>359</v>
      </c>
      <c r="B19" s="75">
        <v>4.0</v>
      </c>
      <c r="C19" s="70" t="s">
        <v>360</v>
      </c>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row>
    <row r="20" ht="14.25" customHeight="1">
      <c r="A20" s="7" t="s">
        <v>361</v>
      </c>
      <c r="B20" s="73">
        <v>200000.0</v>
      </c>
      <c r="C20" s="70" t="s">
        <v>347</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row>
    <row r="21" ht="14.25" customHeight="1">
      <c r="A21" s="7" t="s">
        <v>362</v>
      </c>
      <c r="B21" s="75">
        <v>5.0</v>
      </c>
      <c r="C21" s="70" t="s">
        <v>360</v>
      </c>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row>
    <row r="22" ht="14.25" customHeight="1">
      <c r="A22" s="7" t="s">
        <v>363</v>
      </c>
      <c r="B22" s="73">
        <v>200000.0</v>
      </c>
      <c r="C22" s="70" t="s">
        <v>347</v>
      </c>
      <c r="D22" s="78" t="s">
        <v>364</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row>
    <row r="23" ht="14.25" customHeight="1">
      <c r="A23" s="7" t="s">
        <v>365</v>
      </c>
      <c r="B23" s="75">
        <v>8.0</v>
      </c>
      <c r="C23" s="70" t="s">
        <v>360</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ht="14.25" customHeight="1">
      <c r="A24" s="6" t="s">
        <v>366</v>
      </c>
      <c r="B24" s="76"/>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row>
    <row r="25" ht="14.25" customHeight="1">
      <c r="A25" s="7" t="s">
        <v>367</v>
      </c>
      <c r="B25" s="77">
        <v>0.0</v>
      </c>
      <c r="C25" s="70" t="s">
        <v>347</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row>
    <row r="26" ht="14.25" customHeight="1">
      <c r="A26" s="7" t="s">
        <v>368</v>
      </c>
      <c r="B26" s="76">
        <v>0.0</v>
      </c>
      <c r="C26" s="70" t="s">
        <v>360</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row>
    <row r="27" ht="14.25" customHeight="1">
      <c r="A27" s="7" t="s">
        <v>369</v>
      </c>
      <c r="B27" s="77">
        <v>0.0</v>
      </c>
      <c r="C27" s="70" t="s">
        <v>347</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row>
    <row r="28" ht="14.25" customHeight="1">
      <c r="A28" s="7" t="s">
        <v>370</v>
      </c>
      <c r="B28" s="76">
        <v>0.0</v>
      </c>
      <c r="C28" s="70" t="s">
        <v>360</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row>
    <row r="29" ht="14.25" customHeight="1">
      <c r="A29" s="7" t="s">
        <v>371</v>
      </c>
      <c r="B29" s="77">
        <v>0.0</v>
      </c>
      <c r="C29" s="70" t="s">
        <v>347</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row>
    <row r="30" ht="14.25" customHeight="1">
      <c r="A30" s="7" t="s">
        <v>372</v>
      </c>
      <c r="B30" s="76">
        <v>0.0</v>
      </c>
      <c r="C30" s="70" t="s">
        <v>360</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1" ht="14.25" customHeight="1"/>
    <row r="32" ht="14.25" customHeight="1">
      <c r="A32" s="79" t="s">
        <v>373</v>
      </c>
      <c r="B32" s="68"/>
      <c r="C32" s="68"/>
      <c r="D32" s="68"/>
    </row>
    <row r="33" ht="14.25" customHeight="1">
      <c r="A33" s="80" t="s">
        <v>172</v>
      </c>
      <c r="B33" s="81">
        <f>'1_Szenario'!C15</f>
        <v>6</v>
      </c>
      <c r="C33" s="82" t="s">
        <v>374</v>
      </c>
    </row>
    <row r="34" ht="14.25" customHeight="1">
      <c r="A34" s="80" t="s">
        <v>174</v>
      </c>
      <c r="B34" s="81">
        <f>'1_Szenario'!C16</f>
        <v>12</v>
      </c>
      <c r="C34" s="82" t="s">
        <v>374</v>
      </c>
    </row>
    <row r="35" ht="14.25" customHeight="1">
      <c r="A35" s="80" t="s">
        <v>175</v>
      </c>
      <c r="B35" s="81">
        <f>'1_Szenario'!C17</f>
        <v>460</v>
      </c>
      <c r="C35" s="82" t="s">
        <v>374</v>
      </c>
    </row>
    <row r="36" ht="14.25" customHeight="1">
      <c r="A36" s="80" t="s">
        <v>177</v>
      </c>
      <c r="B36" s="81">
        <f>'1_Szenario'!C18</f>
        <v>530</v>
      </c>
      <c r="C36" s="82" t="s">
        <v>374</v>
      </c>
    </row>
    <row r="37" ht="14.25" customHeight="1">
      <c r="A37" s="80" t="s">
        <v>178</v>
      </c>
      <c r="B37" s="81">
        <f>'1_Szenario'!C19</f>
        <v>50000</v>
      </c>
      <c r="C37" s="82" t="s">
        <v>374</v>
      </c>
    </row>
    <row r="38" ht="14.25" customHeight="1">
      <c r="A38" s="80" t="s">
        <v>180</v>
      </c>
      <c r="B38" s="83">
        <f>'1_Szenario'!C20</f>
        <v>0.04</v>
      </c>
      <c r="C38" s="82" t="s">
        <v>374</v>
      </c>
    </row>
    <row r="39" ht="14.25" customHeight="1">
      <c r="A39" s="80" t="s">
        <v>375</v>
      </c>
      <c r="B39" s="81">
        <f>'1_Szenario'!C4</f>
        <v>8</v>
      </c>
      <c r="C39" s="82" t="s">
        <v>374</v>
      </c>
    </row>
    <row r="40" ht="14.25" customHeight="1">
      <c r="A40" s="80" t="s">
        <v>376</v>
      </c>
      <c r="B40" s="83">
        <f>'1_Szenario'!C10</f>
        <v>0.05</v>
      </c>
      <c r="C40" s="82" t="s">
        <v>374</v>
      </c>
    </row>
    <row r="41" ht="14.25" customHeight="1"/>
    <row r="42" ht="14.25" customHeight="1">
      <c r="A42" s="6" t="s">
        <v>377</v>
      </c>
      <c r="B42" s="68"/>
      <c r="C42" s="68"/>
      <c r="D42" s="68"/>
    </row>
    <row r="43" ht="14.25" customHeight="1">
      <c r="A43" s="7" t="s">
        <v>378</v>
      </c>
      <c r="B43" s="84">
        <f>'1_Szenario'!C5</f>
        <v>1500</v>
      </c>
      <c r="C43" s="85" t="s">
        <v>374</v>
      </c>
    </row>
    <row r="44" ht="14.25" customHeight="1">
      <c r="A44" s="7" t="s">
        <v>379</v>
      </c>
      <c r="B44" s="86">
        <f>'1_Szenario'!C6</f>
        <v>20</v>
      </c>
      <c r="C44" s="85" t="s">
        <v>374</v>
      </c>
    </row>
    <row r="45" ht="14.25" customHeight="1">
      <c r="A45" s="7" t="s">
        <v>200</v>
      </c>
      <c r="B45" s="87">
        <f>'1_Szenario'!C7</f>
        <v>1</v>
      </c>
      <c r="C45" s="85" t="s">
        <v>374</v>
      </c>
    </row>
    <row r="46" ht="14.25" customHeight="1">
      <c r="A46" s="7" t="s">
        <v>380</v>
      </c>
      <c r="B46" s="86">
        <f>'1_Szenario'!C8</f>
        <v>6</v>
      </c>
      <c r="C46" s="85" t="s">
        <v>374</v>
      </c>
    </row>
    <row r="47" ht="14.25" customHeight="1">
      <c r="A47" s="6" t="s">
        <v>381</v>
      </c>
      <c r="B47" s="88" t="s">
        <v>382</v>
      </c>
      <c r="C47" s="89" t="s">
        <v>383</v>
      </c>
      <c r="D47" s="88" t="s">
        <v>384</v>
      </c>
    </row>
    <row r="48" ht="14.25" customHeight="1">
      <c r="A48" s="6" t="s">
        <v>385</v>
      </c>
      <c r="B48" s="90" t="s">
        <v>386</v>
      </c>
      <c r="C48" s="91" t="s">
        <v>387</v>
      </c>
      <c r="D48" s="90" t="s">
        <v>388</v>
      </c>
    </row>
    <row r="49" ht="14.25" customHeight="1">
      <c r="A49" s="92" t="s">
        <v>389</v>
      </c>
      <c r="B49" s="93">
        <v>81967.0</v>
      </c>
      <c r="C49" s="93">
        <v>100000.0</v>
      </c>
      <c r="D49" s="93">
        <v>45082.0</v>
      </c>
    </row>
    <row r="50" ht="14.25" customHeight="1">
      <c r="A50" s="92" t="s">
        <v>390</v>
      </c>
      <c r="B50" s="93">
        <v>81967.0</v>
      </c>
      <c r="C50" s="93">
        <v>100000.0</v>
      </c>
      <c r="D50" s="93">
        <v>45082.0</v>
      </c>
    </row>
    <row r="51" ht="14.25" customHeight="1">
      <c r="A51" s="92" t="s">
        <v>391</v>
      </c>
      <c r="B51" s="93">
        <v>81967.0</v>
      </c>
      <c r="C51" s="93">
        <v>100000.0</v>
      </c>
      <c r="D51" s="93">
        <v>45082.0</v>
      </c>
    </row>
    <row r="52" ht="14.25" customHeight="1">
      <c r="A52" s="9" t="s">
        <v>392</v>
      </c>
      <c r="B52" s="94" t="s">
        <v>393</v>
      </c>
      <c r="C52" s="95" t="s">
        <v>394</v>
      </c>
      <c r="D52" s="96"/>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row>
    <row r="53" ht="14.25" customHeight="1">
      <c r="A53" s="76" t="s">
        <v>395</v>
      </c>
      <c r="B53" s="97">
        <v>0.0</v>
      </c>
      <c r="C53" s="98" t="s">
        <v>396</v>
      </c>
      <c r="D53" s="96"/>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row>
    <row r="54" ht="14.25" customHeight="1">
      <c r="A54" s="76" t="s">
        <v>397</v>
      </c>
      <c r="B54" s="97">
        <v>100000.0</v>
      </c>
      <c r="C54" s="98" t="s">
        <v>398</v>
      </c>
      <c r="D54" s="96"/>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row>
    <row r="55" ht="14.25" customHeight="1">
      <c r="A55" s="76" t="s">
        <v>399</v>
      </c>
      <c r="B55" s="97">
        <v>100000.0</v>
      </c>
      <c r="C55" s="98" t="s">
        <v>400</v>
      </c>
      <c r="D55" s="96"/>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row>
    <row r="56" ht="14.25" customHeight="1">
      <c r="A56" s="76" t="s">
        <v>401</v>
      </c>
      <c r="B56" s="97">
        <v>100000.0</v>
      </c>
      <c r="C56" s="98" t="s">
        <v>402</v>
      </c>
      <c r="D56" s="96"/>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row>
    <row r="57" ht="14.25" customHeight="1">
      <c r="A57" s="76" t="s">
        <v>403</v>
      </c>
      <c r="B57" s="97">
        <v>120000.0</v>
      </c>
      <c r="C57" s="98" t="s">
        <v>404</v>
      </c>
      <c r="D57" s="96"/>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row>
    <row r="58" ht="14.25" customHeight="1">
      <c r="A58" s="9" t="s">
        <v>405</v>
      </c>
      <c r="B58" s="94" t="s">
        <v>393</v>
      </c>
      <c r="C58" s="95" t="s">
        <v>394</v>
      </c>
      <c r="D58" s="96"/>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row>
    <row r="59" ht="14.25" customHeight="1">
      <c r="A59" s="76" t="s">
        <v>395</v>
      </c>
      <c r="B59" s="97">
        <v>0.0</v>
      </c>
      <c r="C59" s="98" t="s">
        <v>396</v>
      </c>
      <c r="D59" s="96"/>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row>
    <row r="60" ht="14.25" customHeight="1">
      <c r="A60" s="76" t="s">
        <v>397</v>
      </c>
      <c r="B60" s="97">
        <v>100000.0</v>
      </c>
      <c r="C60" s="98" t="s">
        <v>398</v>
      </c>
      <c r="D60" s="96"/>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row>
    <row r="61" ht="14.25" customHeight="1">
      <c r="A61" s="76" t="s">
        <v>399</v>
      </c>
      <c r="B61" s="97">
        <v>100000.0</v>
      </c>
      <c r="C61" s="98" t="s">
        <v>400</v>
      </c>
      <c r="D61" s="96"/>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row>
    <row r="62" ht="14.25" customHeight="1">
      <c r="A62" s="76" t="s">
        <v>401</v>
      </c>
      <c r="B62" s="97">
        <v>100000.0</v>
      </c>
      <c r="C62" s="98" t="s">
        <v>402</v>
      </c>
      <c r="D62" s="96"/>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row>
    <row r="63" ht="14.25" customHeight="1">
      <c r="A63" s="76" t="s">
        <v>403</v>
      </c>
      <c r="B63" s="97">
        <v>120000.0</v>
      </c>
      <c r="C63" s="98" t="s">
        <v>404</v>
      </c>
      <c r="D63" s="96"/>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row>
    <row r="64" ht="14.25" customHeight="1">
      <c r="A64" s="9" t="s">
        <v>406</v>
      </c>
      <c r="B64" s="94" t="s">
        <v>393</v>
      </c>
      <c r="C64" s="95" t="s">
        <v>394</v>
      </c>
      <c r="D64" s="96"/>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row>
    <row r="65" ht="14.25" customHeight="1">
      <c r="A65" s="76" t="s">
        <v>395</v>
      </c>
      <c r="B65" s="97">
        <v>0.0</v>
      </c>
      <c r="C65" s="98" t="s">
        <v>396</v>
      </c>
      <c r="D65" s="96"/>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row>
    <row r="66" ht="14.25" customHeight="1">
      <c r="A66" s="76" t="s">
        <v>397</v>
      </c>
      <c r="B66" s="97">
        <v>100000.0</v>
      </c>
      <c r="C66" s="98" t="s">
        <v>398</v>
      </c>
      <c r="D66" s="96"/>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row>
    <row r="67" ht="14.25" customHeight="1">
      <c r="A67" s="76" t="s">
        <v>399</v>
      </c>
      <c r="B67" s="97">
        <v>100000.0</v>
      </c>
      <c r="C67" s="98" t="s">
        <v>400</v>
      </c>
      <c r="D67" s="96"/>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row>
    <row r="68" ht="14.25" customHeight="1">
      <c r="A68" s="76" t="s">
        <v>401</v>
      </c>
      <c r="B68" s="97">
        <v>100000.0</v>
      </c>
      <c r="C68" s="98" t="s">
        <v>402</v>
      </c>
      <c r="D68" s="96"/>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row>
    <row r="69" ht="14.25" customHeight="1">
      <c r="A69" s="76" t="s">
        <v>403</v>
      </c>
      <c r="B69" s="97">
        <v>120000.0</v>
      </c>
      <c r="C69" s="98" t="s">
        <v>404</v>
      </c>
      <c r="D69" s="96"/>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row>
    <row r="70" ht="14.25" customHeight="1">
      <c r="A70" s="7"/>
      <c r="B70" s="97"/>
      <c r="C70" s="98"/>
      <c r="D70" s="96"/>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row>
    <row r="71" ht="14.25" customHeight="1">
      <c r="A71" s="99" t="s">
        <v>407</v>
      </c>
      <c r="B71" s="100">
        <v>75000.0</v>
      </c>
      <c r="C71" s="101">
        <v>91500.0</v>
      </c>
      <c r="D71" s="102">
        <v>41250.0</v>
      </c>
    </row>
    <row r="72" ht="14.25" customHeight="1">
      <c r="A72" s="99" t="s">
        <v>408</v>
      </c>
      <c r="B72" s="100">
        <v>50000.0</v>
      </c>
      <c r="C72" s="101">
        <v>61000.0</v>
      </c>
      <c r="D72" s="102">
        <v>27500.0</v>
      </c>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row>
    <row r="73" ht="14.25" customHeight="1">
      <c r="A73" s="99" t="s">
        <v>409</v>
      </c>
      <c r="B73" s="100">
        <v>90000.0</v>
      </c>
      <c r="C73" s="101">
        <v>109800.0</v>
      </c>
      <c r="D73" s="102">
        <v>49500.0</v>
      </c>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row>
    <row r="74" ht="14.25" customHeight="1">
      <c r="A74" s="99" t="s">
        <v>410</v>
      </c>
      <c r="B74" s="100">
        <v>68000.0</v>
      </c>
      <c r="C74" s="101">
        <v>82960.0</v>
      </c>
      <c r="D74" s="102">
        <v>37400.0</v>
      </c>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row>
    <row r="75" ht="14.25" customHeight="1">
      <c r="A75" s="99" t="s">
        <v>411</v>
      </c>
      <c r="B75" s="100">
        <v>50000.0</v>
      </c>
      <c r="C75" s="101">
        <v>61000.0</v>
      </c>
      <c r="D75" s="102">
        <v>27500.0</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row>
    <row r="76" ht="14.25" customHeight="1">
      <c r="A76" s="99" t="s">
        <v>412</v>
      </c>
      <c r="B76" s="100">
        <v>78000.0</v>
      </c>
      <c r="C76" s="101">
        <v>95160.0</v>
      </c>
      <c r="D76" s="102">
        <v>42900.0</v>
      </c>
    </row>
    <row r="77" ht="14.25" customHeight="1">
      <c r="A77" s="99" t="s">
        <v>413</v>
      </c>
      <c r="B77" s="100">
        <v>52000.0</v>
      </c>
      <c r="C77" s="101">
        <v>63440.0</v>
      </c>
      <c r="D77" s="102">
        <v>28600.0</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row>
    <row r="78" ht="14.25" customHeight="1">
      <c r="A78" s="99" t="s">
        <v>414</v>
      </c>
      <c r="B78" s="100">
        <v>42000.0</v>
      </c>
      <c r="C78" s="101">
        <v>51240.0</v>
      </c>
      <c r="D78" s="102">
        <v>23100.0</v>
      </c>
    </row>
    <row r="79" ht="14.25" customHeight="1">
      <c r="A79" s="99" t="s">
        <v>415</v>
      </c>
      <c r="B79" s="100">
        <v>40000.0</v>
      </c>
      <c r="C79" s="101">
        <v>48800.0</v>
      </c>
      <c r="D79" s="102">
        <v>22000.0</v>
      </c>
    </row>
    <row r="80" ht="14.25" customHeight="1">
      <c r="A80" s="99" t="s">
        <v>274</v>
      </c>
      <c r="B80" s="100">
        <v>52000.0</v>
      </c>
      <c r="C80" s="101">
        <v>63440.0</v>
      </c>
      <c r="D80" s="102">
        <v>28600.0</v>
      </c>
    </row>
    <row r="81" ht="14.25" customHeight="1">
      <c r="A81" s="99" t="s">
        <v>416</v>
      </c>
      <c r="B81" s="100">
        <v>80000.0</v>
      </c>
      <c r="C81" s="101">
        <v>97600.0</v>
      </c>
      <c r="D81" s="102">
        <v>44000.0</v>
      </c>
    </row>
    <row r="82" ht="14.25" customHeight="1">
      <c r="A82" s="99" t="s">
        <v>417</v>
      </c>
      <c r="B82" s="100">
        <v>90000.0</v>
      </c>
      <c r="C82" s="101">
        <v>109800.0</v>
      </c>
      <c r="D82" s="102">
        <v>49500.0</v>
      </c>
    </row>
    <row r="83" ht="14.25" customHeight="1">
      <c r="A83" s="7" t="s">
        <v>417</v>
      </c>
      <c r="B83" s="97">
        <v>90000.0</v>
      </c>
      <c r="C83" s="98">
        <f>ROUND(B83*(1+$B$85),0)</f>
        <v>109800</v>
      </c>
      <c r="D83" s="96">
        <f>ROUND(B83*0.55,0)</f>
        <v>49500</v>
      </c>
    </row>
    <row r="84" ht="14.25" customHeight="1">
      <c r="A84" s="7" t="s">
        <v>418</v>
      </c>
      <c r="B84" s="103">
        <v>0.03</v>
      </c>
    </row>
    <row r="85" ht="14.25" customHeight="1">
      <c r="A85" s="7" t="s">
        <v>419</v>
      </c>
      <c r="B85" s="104">
        <v>0.22</v>
      </c>
      <c r="C85" s="70" t="s">
        <v>420</v>
      </c>
    </row>
    <row r="86" ht="14.25" customHeight="1"/>
    <row r="87" ht="14.25" customHeight="1">
      <c r="A87" s="6" t="s">
        <v>421</v>
      </c>
      <c r="B87" s="68"/>
      <c r="C87" s="68"/>
      <c r="D87" s="68" t="s">
        <v>422</v>
      </c>
      <c r="E87" s="68" t="s">
        <v>422</v>
      </c>
    </row>
    <row r="88" ht="14.25" customHeight="1">
      <c r="A88" s="7" t="s">
        <v>423</v>
      </c>
      <c r="B88" s="100">
        <v>90.0</v>
      </c>
      <c r="C88" s="70" t="s">
        <v>424</v>
      </c>
      <c r="D88" s="50" t="s">
        <v>425</v>
      </c>
      <c r="E88" s="50" t="s">
        <v>426</v>
      </c>
    </row>
    <row r="89" ht="14.25" customHeight="1">
      <c r="A89" s="7" t="s">
        <v>427</v>
      </c>
      <c r="B89" s="100">
        <v>90.0</v>
      </c>
      <c r="C89" s="70" t="s">
        <v>424</v>
      </c>
      <c r="D89" s="50" t="s">
        <v>425</v>
      </c>
      <c r="E89" s="50"/>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row>
    <row r="90" ht="14.25" customHeight="1">
      <c r="A90" s="7" t="s">
        <v>428</v>
      </c>
      <c r="B90" s="100">
        <v>450.0</v>
      </c>
      <c r="C90" s="70" t="s">
        <v>429</v>
      </c>
      <c r="D90" s="50" t="s">
        <v>430</v>
      </c>
      <c r="E90" s="50"/>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row>
    <row r="91" ht="14.25" customHeight="1">
      <c r="A91" s="7" t="s">
        <v>431</v>
      </c>
      <c r="B91" s="105">
        <v>0.0</v>
      </c>
      <c r="C91" s="70" t="s">
        <v>432</v>
      </c>
      <c r="D91" s="106" t="s">
        <v>433</v>
      </c>
      <c r="E91" s="50"/>
    </row>
    <row r="92" ht="14.25" customHeight="1">
      <c r="A92" s="7" t="s">
        <v>434</v>
      </c>
      <c r="B92" s="100">
        <v>100.0</v>
      </c>
      <c r="C92" s="70" t="s">
        <v>432</v>
      </c>
      <c r="D92" s="50" t="s">
        <v>435</v>
      </c>
      <c r="E92" s="50"/>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row>
    <row r="93" ht="14.25" customHeight="1">
      <c r="A93" s="7" t="s">
        <v>436</v>
      </c>
      <c r="B93" s="100">
        <v>200.0</v>
      </c>
      <c r="C93" s="70" t="s">
        <v>432</v>
      </c>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row>
    <row r="94" ht="14.25" customHeight="1">
      <c r="A94" s="7" t="s">
        <v>437</v>
      </c>
      <c r="B94" s="100">
        <v>250.0</v>
      </c>
      <c r="C94" s="70" t="s">
        <v>432</v>
      </c>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row>
    <row r="95" ht="14.25" customHeight="1">
      <c r="A95" s="7" t="s">
        <v>438</v>
      </c>
      <c r="B95" s="100">
        <v>300.0</v>
      </c>
      <c r="C95" s="70" t="s">
        <v>432</v>
      </c>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row>
    <row r="96" ht="14.25" customHeight="1">
      <c r="A96" s="7"/>
      <c r="B96" s="107"/>
      <c r="C96" s="7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row>
    <row r="97" ht="14.25" customHeight="1">
      <c r="A97" s="9" t="s">
        <v>439</v>
      </c>
      <c r="B97" s="94" t="s">
        <v>440</v>
      </c>
      <c r="C97" s="108" t="s">
        <v>394</v>
      </c>
      <c r="D97" s="109"/>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row>
    <row r="98" ht="14.25" customHeight="1">
      <c r="A98" s="76" t="s">
        <v>395</v>
      </c>
      <c r="B98" s="110">
        <v>0.0</v>
      </c>
      <c r="C98" s="70" t="s">
        <v>396</v>
      </c>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row>
    <row r="99" ht="14.25" customHeight="1">
      <c r="A99" s="76" t="s">
        <v>397</v>
      </c>
      <c r="B99" s="110">
        <v>400.0</v>
      </c>
      <c r="C99" s="70" t="s">
        <v>398</v>
      </c>
      <c r="D99" s="7"/>
      <c r="E99" s="111"/>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row>
    <row r="100" ht="14.25" customHeight="1">
      <c r="A100" s="76" t="s">
        <v>399</v>
      </c>
      <c r="B100" s="110">
        <v>800.0</v>
      </c>
      <c r="C100" s="70" t="s">
        <v>400</v>
      </c>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row>
    <row r="101" ht="14.25" customHeight="1">
      <c r="A101" s="76" t="s">
        <v>401</v>
      </c>
      <c r="B101" s="100">
        <v>1500.0</v>
      </c>
      <c r="C101" s="70" t="s">
        <v>402</v>
      </c>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row>
    <row r="102" ht="14.25" customHeight="1">
      <c r="A102" s="76" t="s">
        <v>403</v>
      </c>
      <c r="B102" s="100">
        <v>2500.0</v>
      </c>
      <c r="C102" s="70" t="s">
        <v>404</v>
      </c>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row>
    <row r="103" ht="14.25" customHeight="1">
      <c r="A103" s="7"/>
      <c r="B103" s="97"/>
      <c r="C103" s="7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row>
    <row r="104" ht="14.25" customHeight="1">
      <c r="A104" s="9" t="s">
        <v>441</v>
      </c>
      <c r="B104" s="94" t="s">
        <v>440</v>
      </c>
      <c r="C104" s="108" t="s">
        <v>394</v>
      </c>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ht="14.25" customHeight="1">
      <c r="A105" s="76" t="s">
        <v>395</v>
      </c>
      <c r="B105" s="97">
        <v>0.0</v>
      </c>
      <c r="C105" s="70" t="s">
        <v>396</v>
      </c>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row>
    <row r="106" ht="14.25" customHeight="1">
      <c r="A106" s="76" t="s">
        <v>397</v>
      </c>
      <c r="B106" s="97">
        <v>500.0</v>
      </c>
      <c r="C106" s="70" t="s">
        <v>398</v>
      </c>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row>
    <row r="107" ht="14.25" customHeight="1">
      <c r="A107" s="76" t="s">
        <v>399</v>
      </c>
      <c r="B107" s="97">
        <v>1000.0</v>
      </c>
      <c r="C107" s="70" t="s">
        <v>400</v>
      </c>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row>
    <row r="108" ht="14.25" customHeight="1">
      <c r="A108" s="76" t="s">
        <v>401</v>
      </c>
      <c r="B108" s="97">
        <v>1200.0</v>
      </c>
      <c r="C108" s="70" t="s">
        <v>402</v>
      </c>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row>
    <row r="109" ht="14.25" customHeight="1">
      <c r="A109" s="76" t="s">
        <v>403</v>
      </c>
      <c r="B109" s="97">
        <v>1500.0</v>
      </c>
      <c r="C109" s="70" t="s">
        <v>404</v>
      </c>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row>
    <row r="110" ht="14.25" customHeight="1">
      <c r="A110" s="7"/>
      <c r="B110" s="97"/>
      <c r="C110" s="70"/>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row>
    <row r="111" ht="14.25" customHeight="1">
      <c r="A111" s="9" t="s">
        <v>442</v>
      </c>
      <c r="B111" s="94" t="s">
        <v>443</v>
      </c>
      <c r="C111" s="108" t="s">
        <v>394</v>
      </c>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row>
    <row r="112" ht="14.25" customHeight="1">
      <c r="A112" s="76" t="s">
        <v>395</v>
      </c>
      <c r="B112" s="110">
        <v>0.0</v>
      </c>
      <c r="C112" s="70" t="s">
        <v>396</v>
      </c>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row>
    <row r="113" ht="14.25" customHeight="1">
      <c r="A113" s="76" t="s">
        <v>397</v>
      </c>
      <c r="B113" s="100">
        <v>3000.0</v>
      </c>
      <c r="C113" s="70" t="s">
        <v>398</v>
      </c>
      <c r="D113" s="7" t="s">
        <v>444</v>
      </c>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row>
    <row r="114" ht="14.25" customHeight="1">
      <c r="A114" s="76" t="s">
        <v>399</v>
      </c>
      <c r="B114" s="100">
        <v>50000.0</v>
      </c>
      <c r="C114" s="70" t="s">
        <v>400</v>
      </c>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row>
    <row r="115" ht="14.25" customHeight="1">
      <c r="A115" s="76" t="s">
        <v>401</v>
      </c>
      <c r="B115" s="100">
        <v>100000.0</v>
      </c>
      <c r="C115" s="70" t="s">
        <v>402</v>
      </c>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row>
    <row r="116" ht="14.25" customHeight="1">
      <c r="A116" s="76" t="s">
        <v>403</v>
      </c>
      <c r="B116" s="100">
        <v>100000.0</v>
      </c>
      <c r="C116" s="70" t="s">
        <v>404</v>
      </c>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row>
    <row r="117" ht="14.25" customHeight="1">
      <c r="A117" s="76"/>
      <c r="B117" s="107"/>
      <c r="C117" s="7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row>
    <row r="118" ht="14.25" customHeight="1">
      <c r="A118" s="9" t="s">
        <v>445</v>
      </c>
      <c r="B118" s="94" t="s">
        <v>440</v>
      </c>
      <c r="C118" s="108" t="s">
        <v>394</v>
      </c>
      <c r="D118" s="108" t="s">
        <v>422</v>
      </c>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row>
    <row r="119" ht="14.25" customHeight="1">
      <c r="A119" s="76" t="s">
        <v>395</v>
      </c>
      <c r="B119" s="110">
        <v>0.0</v>
      </c>
      <c r="C119" s="70" t="s">
        <v>396</v>
      </c>
      <c r="D119" s="7" t="s">
        <v>446</v>
      </c>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row>
    <row r="120" ht="14.25" customHeight="1">
      <c r="A120" s="76" t="s">
        <v>397</v>
      </c>
      <c r="B120" s="100">
        <v>600.0</v>
      </c>
      <c r="C120" s="70" t="s">
        <v>398</v>
      </c>
      <c r="D120" s="7" t="s">
        <v>444</v>
      </c>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row>
    <row r="121" ht="14.25" customHeight="1">
      <c r="A121" s="76" t="s">
        <v>399</v>
      </c>
      <c r="B121" s="100">
        <v>800.0</v>
      </c>
      <c r="C121" s="70" t="s">
        <v>400</v>
      </c>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row>
    <row r="122" ht="14.25" customHeight="1">
      <c r="A122" s="76" t="s">
        <v>401</v>
      </c>
      <c r="B122" s="100">
        <v>1500.0</v>
      </c>
      <c r="C122" s="70" t="s">
        <v>402</v>
      </c>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row>
    <row r="123" ht="14.25" customHeight="1">
      <c r="A123" s="76" t="s">
        <v>403</v>
      </c>
      <c r="B123" s="100">
        <v>1500.0</v>
      </c>
      <c r="C123" s="70" t="s">
        <v>404</v>
      </c>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row>
    <row r="124" ht="14.25" customHeight="1">
      <c r="A124" s="76"/>
      <c r="B124" s="107"/>
      <c r="C124" s="70"/>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row>
    <row r="125" ht="14.25" customHeight="1">
      <c r="A125" s="9" t="s">
        <v>447</v>
      </c>
      <c r="B125" s="94" t="s">
        <v>440</v>
      </c>
      <c r="C125" s="108" t="s">
        <v>394</v>
      </c>
      <c r="D125" s="108" t="s">
        <v>422</v>
      </c>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row>
    <row r="126" ht="14.25" customHeight="1">
      <c r="A126" s="76" t="s">
        <v>395</v>
      </c>
      <c r="B126" s="110">
        <v>0.0</v>
      </c>
      <c r="C126" s="70" t="s">
        <v>396</v>
      </c>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row>
    <row r="127" ht="14.25" customHeight="1">
      <c r="A127" s="76" t="s">
        <v>397</v>
      </c>
      <c r="B127" s="100">
        <v>0.0</v>
      </c>
      <c r="C127" s="70" t="s">
        <v>398</v>
      </c>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row>
    <row r="128" ht="14.25" customHeight="1">
      <c r="A128" s="76" t="s">
        <v>399</v>
      </c>
      <c r="B128" s="100">
        <v>400.0</v>
      </c>
      <c r="C128" s="70" t="s">
        <v>400</v>
      </c>
      <c r="D128" s="7" t="s">
        <v>444</v>
      </c>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row>
    <row r="129" ht="14.25" customHeight="1">
      <c r="A129" s="76" t="s">
        <v>401</v>
      </c>
      <c r="B129" s="100">
        <v>1800.0</v>
      </c>
      <c r="C129" s="70" t="s">
        <v>402</v>
      </c>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row>
    <row r="130" ht="14.25" customHeight="1">
      <c r="A130" s="76" t="s">
        <v>403</v>
      </c>
      <c r="B130" s="100">
        <v>2000.0</v>
      </c>
      <c r="C130" s="70" t="s">
        <v>404</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row>
    <row r="131" ht="14.25" customHeight="1">
      <c r="A131" s="76"/>
      <c r="B131" s="107"/>
      <c r="C131" s="70"/>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row>
    <row r="132" ht="14.25" customHeight="1">
      <c r="A132" s="9" t="s">
        <v>448</v>
      </c>
      <c r="B132" s="94" t="s">
        <v>440</v>
      </c>
      <c r="C132" s="108" t="s">
        <v>394</v>
      </c>
      <c r="D132" s="108" t="s">
        <v>422</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row>
    <row r="133" ht="14.25" customHeight="1">
      <c r="A133" s="76" t="s">
        <v>395</v>
      </c>
      <c r="B133" s="110">
        <v>0.0</v>
      </c>
      <c r="C133" s="70" t="s">
        <v>396</v>
      </c>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row>
    <row r="134" ht="14.25" customHeight="1">
      <c r="A134" s="76" t="s">
        <v>397</v>
      </c>
      <c r="B134" s="100">
        <v>0.0</v>
      </c>
      <c r="C134" s="70" t="s">
        <v>398</v>
      </c>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row>
    <row r="135" ht="14.25" customHeight="1">
      <c r="A135" s="76" t="s">
        <v>399</v>
      </c>
      <c r="B135" s="100">
        <v>400.0</v>
      </c>
      <c r="C135" s="70" t="s">
        <v>400</v>
      </c>
      <c r="D135" s="7" t="s">
        <v>444</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row>
    <row r="136" ht="14.25" customHeight="1">
      <c r="A136" s="76" t="s">
        <v>401</v>
      </c>
      <c r="B136" s="100">
        <v>1200.0</v>
      </c>
      <c r="C136" s="70" t="s">
        <v>402</v>
      </c>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row>
    <row r="137" ht="14.25" customHeight="1">
      <c r="A137" s="76" t="s">
        <v>403</v>
      </c>
      <c r="B137" s="100">
        <v>2000.0</v>
      </c>
      <c r="C137" s="70" t="s">
        <v>404</v>
      </c>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row>
    <row r="138" ht="14.25" customHeight="1">
      <c r="A138" s="76"/>
      <c r="B138" s="107"/>
      <c r="C138" s="70"/>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row>
    <row r="139" ht="14.25" customHeight="1">
      <c r="A139" s="9" t="s">
        <v>449</v>
      </c>
      <c r="B139" s="94" t="s">
        <v>440</v>
      </c>
      <c r="C139" s="108" t="s">
        <v>394</v>
      </c>
      <c r="D139" s="108" t="s">
        <v>422</v>
      </c>
      <c r="E139" s="112"/>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row>
    <row r="140" ht="14.25" customHeight="1">
      <c r="A140" s="76" t="s">
        <v>395</v>
      </c>
      <c r="B140" s="97">
        <v>0.0</v>
      </c>
      <c r="C140" s="70" t="s">
        <v>396</v>
      </c>
      <c r="D140" s="50" t="s">
        <v>450</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row>
    <row r="141" ht="14.25" customHeight="1">
      <c r="A141" s="76" t="s">
        <v>397</v>
      </c>
      <c r="B141" s="97">
        <v>300.0</v>
      </c>
      <c r="C141" s="70" t="s">
        <v>398</v>
      </c>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row>
    <row r="142" ht="14.25" customHeight="1">
      <c r="A142" s="76" t="s">
        <v>399</v>
      </c>
      <c r="B142" s="97">
        <v>300.0</v>
      </c>
      <c r="C142" s="70" t="s">
        <v>400</v>
      </c>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row>
    <row r="143" ht="14.25" customHeight="1">
      <c r="A143" s="76" t="s">
        <v>401</v>
      </c>
      <c r="B143" s="97">
        <v>300.0</v>
      </c>
      <c r="C143" s="70" t="s">
        <v>402</v>
      </c>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row>
    <row r="144" ht="14.25" customHeight="1">
      <c r="A144" s="76" t="s">
        <v>403</v>
      </c>
      <c r="B144" s="97">
        <v>300.0</v>
      </c>
      <c r="C144" s="70" t="s">
        <v>404</v>
      </c>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row>
    <row r="145" ht="14.25" customHeight="1">
      <c r="A145" s="7"/>
      <c r="B145" s="97"/>
      <c r="C145" s="70"/>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row>
    <row r="146" ht="14.25" customHeight="1">
      <c r="A146" s="9" t="s">
        <v>451</v>
      </c>
      <c r="B146" s="94" t="s">
        <v>440</v>
      </c>
      <c r="C146" s="108" t="s">
        <v>394</v>
      </c>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row>
    <row r="147" ht="14.25" customHeight="1">
      <c r="A147" s="76" t="s">
        <v>395</v>
      </c>
      <c r="B147" s="97">
        <v>42.0</v>
      </c>
      <c r="C147" s="70" t="s">
        <v>396</v>
      </c>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row>
    <row r="148" ht="14.25" customHeight="1">
      <c r="A148" s="76" t="s">
        <v>397</v>
      </c>
      <c r="B148" s="97">
        <v>300.0</v>
      </c>
      <c r="C148" s="70" t="s">
        <v>398</v>
      </c>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row>
    <row r="149" ht="14.25" customHeight="1">
      <c r="A149" s="76" t="s">
        <v>399</v>
      </c>
      <c r="B149" s="97">
        <v>600.0</v>
      </c>
      <c r="C149" s="70" t="s">
        <v>400</v>
      </c>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row>
    <row r="150" ht="14.25" customHeight="1">
      <c r="A150" s="76" t="s">
        <v>401</v>
      </c>
      <c r="B150" s="97">
        <v>900.0</v>
      </c>
      <c r="C150" s="70" t="s">
        <v>402</v>
      </c>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row>
    <row r="151" ht="14.25" customHeight="1">
      <c r="A151" s="76" t="s">
        <v>403</v>
      </c>
      <c r="B151" s="97">
        <v>1200.0</v>
      </c>
      <c r="C151" s="70" t="s">
        <v>404</v>
      </c>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row>
    <row r="152" ht="14.25" customHeight="1">
      <c r="A152" s="9" t="s">
        <v>452</v>
      </c>
      <c r="B152" s="94" t="s">
        <v>440</v>
      </c>
      <c r="C152" s="108" t="s">
        <v>394</v>
      </c>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row>
    <row r="153" ht="14.25" customHeight="1">
      <c r="A153" s="76" t="s">
        <v>395</v>
      </c>
      <c r="B153" s="97">
        <v>50.0</v>
      </c>
      <c r="C153" s="70" t="s">
        <v>396</v>
      </c>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row>
    <row r="154" ht="14.25" customHeight="1">
      <c r="A154" s="76" t="s">
        <v>397</v>
      </c>
      <c r="B154" s="97">
        <v>150.0</v>
      </c>
      <c r="C154" s="70" t="s">
        <v>398</v>
      </c>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row>
    <row r="155" ht="14.25" customHeight="1">
      <c r="A155" s="76" t="s">
        <v>399</v>
      </c>
      <c r="B155" s="97">
        <v>250.0</v>
      </c>
      <c r="C155" s="70" t="s">
        <v>400</v>
      </c>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row>
    <row r="156" ht="14.25" customHeight="1">
      <c r="A156" s="76" t="s">
        <v>401</v>
      </c>
      <c r="B156" s="97">
        <v>300.0</v>
      </c>
      <c r="C156" s="70" t="s">
        <v>402</v>
      </c>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row>
    <row r="157" ht="14.25" customHeight="1">
      <c r="A157" s="76" t="s">
        <v>403</v>
      </c>
      <c r="B157" s="97">
        <v>350.0</v>
      </c>
      <c r="C157" s="70" t="s">
        <v>404</v>
      </c>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row>
    <row r="158" ht="14.25" customHeight="1">
      <c r="A158" s="7"/>
      <c r="B158" s="97"/>
      <c r="C158" s="70"/>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row>
    <row r="159" ht="14.25" customHeight="1">
      <c r="A159" s="9" t="s">
        <v>453</v>
      </c>
      <c r="B159" s="94" t="s">
        <v>454</v>
      </c>
      <c r="C159" s="108" t="s">
        <v>394</v>
      </c>
      <c r="D159" s="113"/>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row>
    <row r="160" ht="14.25" customHeight="1">
      <c r="A160" s="76" t="s">
        <v>395</v>
      </c>
      <c r="B160" s="97">
        <v>300.0</v>
      </c>
      <c r="C160" s="70" t="s">
        <v>396</v>
      </c>
      <c r="D160" s="112"/>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row>
    <row r="161" ht="14.25" customHeight="1">
      <c r="A161" s="76" t="s">
        <v>397</v>
      </c>
      <c r="B161" s="97">
        <v>1400.0</v>
      </c>
      <c r="C161" s="70" t="s">
        <v>398</v>
      </c>
      <c r="D161" s="112"/>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row>
    <row r="162" ht="14.25" customHeight="1">
      <c r="A162" s="76" t="s">
        <v>399</v>
      </c>
      <c r="B162" s="97">
        <v>3000.0</v>
      </c>
      <c r="C162" s="70" t="s">
        <v>400</v>
      </c>
      <c r="D162" s="112"/>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row>
    <row r="163" ht="14.25" customHeight="1">
      <c r="A163" s="76" t="s">
        <v>401</v>
      </c>
      <c r="B163" s="97">
        <v>5000.0</v>
      </c>
      <c r="C163" s="70" t="s">
        <v>402</v>
      </c>
      <c r="D163" s="112"/>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row>
    <row r="164" ht="14.25" customHeight="1">
      <c r="A164" s="76" t="s">
        <v>403</v>
      </c>
      <c r="B164" s="97">
        <v>7000.0</v>
      </c>
      <c r="C164" s="70" t="s">
        <v>404</v>
      </c>
      <c r="D164" s="112"/>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row>
    <row r="165" ht="14.25" customHeight="1">
      <c r="A165" s="76" t="s">
        <v>455</v>
      </c>
      <c r="B165" s="97">
        <v>100.0</v>
      </c>
      <c r="C165" s="70" t="s">
        <v>432</v>
      </c>
      <c r="D165" s="112"/>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row>
    <row r="166" ht="14.25" customHeight="1">
      <c r="A166" s="7"/>
      <c r="B166" s="97"/>
      <c r="C166" s="70"/>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row>
    <row r="167" ht="14.25" customHeight="1">
      <c r="A167" s="9" t="s">
        <v>456</v>
      </c>
      <c r="B167" s="94" t="s">
        <v>440</v>
      </c>
      <c r="C167" s="108" t="s">
        <v>394</v>
      </c>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row>
    <row r="168" ht="14.25" customHeight="1">
      <c r="A168" s="76" t="s">
        <v>395</v>
      </c>
      <c r="B168" s="97">
        <v>50.0</v>
      </c>
      <c r="C168" s="70" t="s">
        <v>396</v>
      </c>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row>
    <row r="169" ht="14.25" customHeight="1">
      <c r="A169" s="76" t="s">
        <v>397</v>
      </c>
      <c r="B169" s="97">
        <v>250.0</v>
      </c>
      <c r="C169" s="70" t="s">
        <v>398</v>
      </c>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row>
    <row r="170" ht="14.25" customHeight="1">
      <c r="A170" s="76" t="s">
        <v>399</v>
      </c>
      <c r="B170" s="97">
        <v>500.0</v>
      </c>
      <c r="C170" s="70" t="s">
        <v>400</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row>
    <row r="171" ht="14.25" customHeight="1">
      <c r="A171" s="76" t="s">
        <v>401</v>
      </c>
      <c r="B171" s="97">
        <v>750.0</v>
      </c>
      <c r="C171" s="70" t="s">
        <v>402</v>
      </c>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row>
    <row r="172" ht="14.25" customHeight="1">
      <c r="A172" s="76" t="s">
        <v>403</v>
      </c>
      <c r="B172" s="97">
        <v>1000.0</v>
      </c>
      <c r="C172" s="70" t="s">
        <v>404</v>
      </c>
    </row>
    <row r="173" ht="14.25" customHeight="1">
      <c r="A173" s="7" t="s">
        <v>457</v>
      </c>
      <c r="B173" s="103">
        <v>0.025</v>
      </c>
      <c r="C173" s="70" t="s">
        <v>458</v>
      </c>
    </row>
    <row r="174" ht="14.25" customHeight="1">
      <c r="A174" s="7" t="s">
        <v>459</v>
      </c>
      <c r="B174" s="97">
        <v>3.0</v>
      </c>
      <c r="C174" s="70" t="s">
        <v>460</v>
      </c>
    </row>
    <row r="175" ht="14.25" customHeight="1"/>
    <row r="176" ht="14.25" customHeight="1">
      <c r="A176" s="6" t="s">
        <v>461</v>
      </c>
      <c r="B176" s="68"/>
      <c r="C176" s="114" t="s">
        <v>462</v>
      </c>
    </row>
    <row r="177" ht="14.25" customHeight="1">
      <c r="A177" s="7" t="s">
        <v>463</v>
      </c>
      <c r="B177" s="115">
        <v>6.0</v>
      </c>
      <c r="C177" s="116" t="s">
        <v>464</v>
      </c>
    </row>
    <row r="178" ht="14.25" customHeight="1">
      <c r="A178" s="7" t="s">
        <v>465</v>
      </c>
      <c r="B178" s="115">
        <v>21.0</v>
      </c>
      <c r="C178" s="116" t="s">
        <v>464</v>
      </c>
      <c r="E178" s="7" t="s">
        <v>466</v>
      </c>
    </row>
    <row r="179" ht="14.25" customHeight="1">
      <c r="A179" s="7" t="s">
        <v>467</v>
      </c>
      <c r="B179" s="115">
        <v>24.0</v>
      </c>
      <c r="C179" s="116" t="s">
        <v>464</v>
      </c>
    </row>
    <row r="180" ht="14.25" customHeight="1">
      <c r="A180" s="7" t="s">
        <v>468</v>
      </c>
      <c r="B180" s="115">
        <v>19.0</v>
      </c>
      <c r="C180" s="116" t="s">
        <v>464</v>
      </c>
    </row>
    <row r="181" ht="14.25" customHeight="1">
      <c r="A181" s="7" t="s">
        <v>469</v>
      </c>
      <c r="B181" s="115">
        <v>11.0</v>
      </c>
      <c r="C181" s="116" t="s">
        <v>464</v>
      </c>
    </row>
    <row r="182" ht="14.25" customHeight="1">
      <c r="A182" s="7" t="s">
        <v>470</v>
      </c>
      <c r="B182" s="76">
        <v>10.0</v>
      </c>
      <c r="C182" s="116" t="s">
        <v>471</v>
      </c>
    </row>
    <row r="183" ht="14.25" customHeight="1">
      <c r="A183" s="7" t="s">
        <v>472</v>
      </c>
      <c r="B183" s="76">
        <v>12.0</v>
      </c>
      <c r="C183" s="116" t="s">
        <v>471</v>
      </c>
    </row>
    <row r="184" ht="14.25" customHeight="1">
      <c r="A184" s="7" t="s">
        <v>473</v>
      </c>
      <c r="B184" s="115">
        <v>10.0</v>
      </c>
      <c r="C184" s="116" t="s">
        <v>464</v>
      </c>
    </row>
    <row r="185" ht="14.25" customHeight="1">
      <c r="A185" s="7" t="s">
        <v>474</v>
      </c>
      <c r="B185" s="115">
        <v>22.0</v>
      </c>
      <c r="C185" s="116" t="s">
        <v>464</v>
      </c>
    </row>
    <row r="186" ht="14.25" customHeight="1">
      <c r="A186" s="7" t="s">
        <v>475</v>
      </c>
      <c r="B186" s="115">
        <v>25.0</v>
      </c>
      <c r="C186" s="116" t="s">
        <v>464</v>
      </c>
    </row>
    <row r="187" ht="14.25" customHeight="1">
      <c r="A187" s="7" t="s">
        <v>476</v>
      </c>
      <c r="B187" s="115">
        <v>14.0</v>
      </c>
      <c r="C187" s="116" t="s">
        <v>464</v>
      </c>
    </row>
    <row r="188" ht="14.25" customHeight="1">
      <c r="A188" s="7" t="s">
        <v>477</v>
      </c>
      <c r="B188" s="76">
        <v>29.0</v>
      </c>
      <c r="C188" s="116" t="s">
        <v>471</v>
      </c>
    </row>
    <row r="189" ht="14.25" customHeight="1">
      <c r="A189" s="7" t="s">
        <v>478</v>
      </c>
      <c r="B189" s="115">
        <v>19.0</v>
      </c>
      <c r="C189" s="116" t="s">
        <v>464</v>
      </c>
    </row>
    <row r="190" ht="14.25" customHeight="1">
      <c r="A190" s="7" t="s">
        <v>479</v>
      </c>
      <c r="B190" s="76">
        <v>14.0</v>
      </c>
      <c r="C190" s="116" t="s">
        <v>471</v>
      </c>
    </row>
    <row r="191" ht="14.25" customHeight="1">
      <c r="A191" s="7" t="s">
        <v>480</v>
      </c>
      <c r="B191" s="115">
        <v>14.0</v>
      </c>
      <c r="C191" s="116" t="s">
        <v>464</v>
      </c>
    </row>
    <row r="192" ht="14.25" customHeight="1">
      <c r="A192" s="7" t="s">
        <v>481</v>
      </c>
      <c r="B192" s="76">
        <v>19.0</v>
      </c>
      <c r="C192" s="116" t="s">
        <v>471</v>
      </c>
    </row>
    <row r="193" ht="14.25" customHeight="1">
      <c r="A193" s="6" t="s">
        <v>482</v>
      </c>
      <c r="B193" s="117"/>
      <c r="C193" s="118"/>
      <c r="D193" s="68" t="s">
        <v>422</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row>
    <row r="194" ht="14.25" customHeight="1">
      <c r="A194" s="76" t="s">
        <v>483</v>
      </c>
      <c r="B194" s="97">
        <v>60.0</v>
      </c>
      <c r="C194" s="119" t="s">
        <v>464</v>
      </c>
      <c r="D194" s="7" t="s">
        <v>484</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row>
    <row r="195" ht="14.25" customHeight="1">
      <c r="A195" s="76" t="s">
        <v>485</v>
      </c>
      <c r="B195" s="97">
        <v>14.0</v>
      </c>
      <c r="C195" s="119" t="s">
        <v>464</v>
      </c>
      <c r="D195" s="7" t="s">
        <v>486</v>
      </c>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row>
    <row r="196" ht="14.25" customHeight="1">
      <c r="A196" s="76" t="s">
        <v>487</v>
      </c>
      <c r="B196" s="97">
        <v>15.0</v>
      </c>
      <c r="C196" s="119" t="s">
        <v>464</v>
      </c>
      <c r="D196" s="7" t="s">
        <v>488</v>
      </c>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row>
    <row r="197" ht="14.25" customHeight="1">
      <c r="A197" s="120" t="s">
        <v>489</v>
      </c>
      <c r="B197" s="121">
        <f>IF(C194="JA",B194,0)+IF(C195="JA",B195,0)+IF(C196="JA",B196,0)</f>
        <v>89</v>
      </c>
      <c r="C197" s="122" t="s">
        <v>490</v>
      </c>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row>
    <row r="198" ht="14.25" customHeight="1">
      <c r="A198" s="6" t="s">
        <v>491</v>
      </c>
      <c r="B198" s="68"/>
      <c r="C198" s="2"/>
    </row>
    <row r="199" ht="14.25" customHeight="1">
      <c r="A199" s="76" t="s">
        <v>492</v>
      </c>
      <c r="B199" s="97">
        <v>400.0</v>
      </c>
      <c r="C199" s="123" t="s">
        <v>493</v>
      </c>
    </row>
    <row r="200" ht="14.25" customHeight="1">
      <c r="A200" s="76" t="s">
        <v>494</v>
      </c>
      <c r="B200" s="97">
        <v>2.0</v>
      </c>
      <c r="C200" s="123" t="s">
        <v>495</v>
      </c>
    </row>
    <row r="201" ht="14.25" customHeight="1">
      <c r="A201" s="76" t="s">
        <v>496</v>
      </c>
      <c r="B201" s="97">
        <v>3500.0</v>
      </c>
      <c r="C201" s="123" t="s">
        <v>440</v>
      </c>
    </row>
    <row r="202" ht="14.25" customHeight="1">
      <c r="A202" s="76" t="s">
        <v>497</v>
      </c>
      <c r="B202" s="97">
        <v>4500.0</v>
      </c>
      <c r="C202" s="124" t="s">
        <v>440</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row>
    <row r="203" ht="14.25" customHeight="1">
      <c r="A203" s="6" t="s">
        <v>498</v>
      </c>
      <c r="B203" s="125" t="s">
        <v>440</v>
      </c>
      <c r="C203" s="126" t="s">
        <v>394</v>
      </c>
    </row>
    <row r="204" ht="14.25" customHeight="1">
      <c r="A204" s="7" t="s">
        <v>395</v>
      </c>
      <c r="B204" s="97">
        <v>300.0</v>
      </c>
      <c r="C204" s="70" t="s">
        <v>396</v>
      </c>
    </row>
    <row r="205" ht="14.25" customHeight="1">
      <c r="A205" s="7" t="s">
        <v>397</v>
      </c>
      <c r="B205" s="97">
        <v>1000.0</v>
      </c>
      <c r="C205" s="70" t="s">
        <v>398</v>
      </c>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row>
    <row r="206" ht="14.25" customHeight="1">
      <c r="A206" s="7" t="s">
        <v>399</v>
      </c>
      <c r="B206" s="97">
        <v>2500.0</v>
      </c>
      <c r="C206" s="70" t="s">
        <v>400</v>
      </c>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row>
    <row r="207" ht="14.25" customHeight="1">
      <c r="A207" s="7" t="s">
        <v>401</v>
      </c>
      <c r="B207" s="97">
        <v>5000.0</v>
      </c>
      <c r="C207" s="70" t="s">
        <v>402</v>
      </c>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row>
    <row r="208" ht="14.25" customHeight="1">
      <c r="A208" s="7" t="s">
        <v>403</v>
      </c>
      <c r="B208" s="97">
        <v>8000.0</v>
      </c>
      <c r="C208" s="70" t="s">
        <v>404</v>
      </c>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row>
    <row r="209" ht="14.25" customHeight="1">
      <c r="A209" s="6" t="s">
        <v>499</v>
      </c>
      <c r="B209" s="125" t="s">
        <v>440</v>
      </c>
      <c r="C209" s="126" t="s">
        <v>394</v>
      </c>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row>
    <row r="210" ht="14.25" customHeight="1">
      <c r="A210" s="7" t="s">
        <v>395</v>
      </c>
      <c r="B210" s="97">
        <v>200.0</v>
      </c>
      <c r="C210" s="70" t="s">
        <v>396</v>
      </c>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row>
    <row r="211" ht="14.25" customHeight="1">
      <c r="A211" s="7" t="s">
        <v>397</v>
      </c>
      <c r="B211" s="97">
        <v>1000.0</v>
      </c>
      <c r="C211" s="70" t="s">
        <v>398</v>
      </c>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row>
    <row r="212" ht="14.25" customHeight="1">
      <c r="A212" s="7" t="s">
        <v>399</v>
      </c>
      <c r="B212" s="97">
        <v>2000.0</v>
      </c>
      <c r="C212" s="70" t="s">
        <v>400</v>
      </c>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row>
    <row r="213" ht="14.25" customHeight="1">
      <c r="A213" s="7" t="s">
        <v>401</v>
      </c>
      <c r="B213" s="97">
        <v>5000.0</v>
      </c>
      <c r="C213" s="70" t="s">
        <v>402</v>
      </c>
    </row>
    <row r="214" ht="14.25" customHeight="1">
      <c r="A214" s="7" t="s">
        <v>403</v>
      </c>
      <c r="B214" s="97">
        <v>7000.0</v>
      </c>
      <c r="C214" s="70" t="s">
        <v>404</v>
      </c>
    </row>
    <row r="215" ht="14.25" customHeight="1">
      <c r="A215" s="79" t="s">
        <v>500</v>
      </c>
      <c r="F215" s="127" t="s">
        <v>501</v>
      </c>
      <c r="G215" s="127" t="s">
        <v>501</v>
      </c>
      <c r="H215" s="127" t="s">
        <v>501</v>
      </c>
      <c r="I215" s="127" t="s">
        <v>501</v>
      </c>
      <c r="J215" s="127" t="s">
        <v>501</v>
      </c>
      <c r="K215" s="127" t="s">
        <v>501</v>
      </c>
      <c r="L215" s="127" t="s">
        <v>501</v>
      </c>
      <c r="M215" s="127" t="s">
        <v>501</v>
      </c>
      <c r="N215" s="127" t="s">
        <v>501</v>
      </c>
      <c r="O215" s="127" t="s">
        <v>501</v>
      </c>
      <c r="P215" s="127" t="s">
        <v>501</v>
      </c>
      <c r="Q215" s="127" t="s">
        <v>501</v>
      </c>
      <c r="R215" s="128" t="s">
        <v>502</v>
      </c>
      <c r="S215" s="128" t="s">
        <v>502</v>
      </c>
      <c r="T215" s="128" t="s">
        <v>502</v>
      </c>
      <c r="U215" s="128" t="s">
        <v>502</v>
      </c>
      <c r="V215" s="128" t="s">
        <v>502</v>
      </c>
      <c r="W215" s="128" t="s">
        <v>502</v>
      </c>
      <c r="X215" s="128" t="s">
        <v>502</v>
      </c>
      <c r="Y215" s="128" t="s">
        <v>502</v>
      </c>
      <c r="Z215" s="128" t="s">
        <v>502</v>
      </c>
      <c r="AA215" s="128" t="s">
        <v>502</v>
      </c>
      <c r="AB215" s="128" t="s">
        <v>502</v>
      </c>
      <c r="AC215" s="128" t="s">
        <v>502</v>
      </c>
      <c r="AD215" s="129" t="s">
        <v>503</v>
      </c>
      <c r="AE215" s="129" t="s">
        <v>503</v>
      </c>
      <c r="AF215" s="129" t="s">
        <v>503</v>
      </c>
      <c r="AG215" s="129" t="s">
        <v>503</v>
      </c>
      <c r="AH215" s="129" t="s">
        <v>503</v>
      </c>
      <c r="AI215" s="129" t="s">
        <v>503</v>
      </c>
      <c r="AJ215" s="129" t="s">
        <v>503</v>
      </c>
      <c r="AK215" s="129" t="s">
        <v>503</v>
      </c>
      <c r="AL215" s="129" t="s">
        <v>503</v>
      </c>
      <c r="AM215" s="129" t="s">
        <v>503</v>
      </c>
      <c r="AN215" s="129" t="s">
        <v>503</v>
      </c>
      <c r="AO215" s="129" t="s">
        <v>503</v>
      </c>
      <c r="AP215" s="130" t="s">
        <v>504</v>
      </c>
      <c r="AQ215" s="130" t="s">
        <v>504</v>
      </c>
      <c r="AR215" s="130" t="s">
        <v>504</v>
      </c>
      <c r="AS215" s="130" t="s">
        <v>504</v>
      </c>
      <c r="AT215" s="130" t="s">
        <v>504</v>
      </c>
      <c r="AU215" s="130" t="s">
        <v>504</v>
      </c>
      <c r="AV215" s="130" t="s">
        <v>504</v>
      </c>
      <c r="AW215" s="130" t="s">
        <v>504</v>
      </c>
      <c r="AX215" s="130" t="s">
        <v>504</v>
      </c>
      <c r="AY215" s="130" t="s">
        <v>504</v>
      </c>
      <c r="AZ215" s="130" t="s">
        <v>504</v>
      </c>
      <c r="BA215" s="130" t="s">
        <v>504</v>
      </c>
    </row>
    <row r="216" ht="14.25" customHeight="1">
      <c r="A216" s="131" t="s">
        <v>505</v>
      </c>
      <c r="B216" s="132">
        <v>1.0</v>
      </c>
      <c r="C216" s="132">
        <v>2.0</v>
      </c>
      <c r="D216" s="132">
        <v>3.0</v>
      </c>
      <c r="E216" s="132">
        <v>4.0</v>
      </c>
      <c r="F216" s="132">
        <v>5.0</v>
      </c>
      <c r="G216" s="132">
        <v>6.0</v>
      </c>
      <c r="H216" s="132">
        <v>7.0</v>
      </c>
      <c r="I216" s="132">
        <v>8.0</v>
      </c>
      <c r="J216" s="132">
        <v>9.0</v>
      </c>
      <c r="K216" s="132">
        <v>10.0</v>
      </c>
      <c r="L216" s="132">
        <v>11.0</v>
      </c>
      <c r="M216" s="132">
        <v>12.0</v>
      </c>
      <c r="N216" s="132">
        <v>13.0</v>
      </c>
      <c r="O216" s="132">
        <v>14.0</v>
      </c>
      <c r="P216" s="132">
        <v>15.0</v>
      </c>
      <c r="Q216" s="132">
        <v>16.0</v>
      </c>
      <c r="R216" s="132">
        <v>17.0</v>
      </c>
      <c r="S216" s="132">
        <v>18.0</v>
      </c>
      <c r="T216" s="132">
        <v>19.0</v>
      </c>
      <c r="U216" s="132">
        <v>20.0</v>
      </c>
      <c r="V216" s="132">
        <v>21.0</v>
      </c>
      <c r="W216" s="132">
        <v>22.0</v>
      </c>
      <c r="X216" s="132">
        <v>23.0</v>
      </c>
      <c r="Y216" s="132">
        <v>24.0</v>
      </c>
      <c r="Z216" s="132">
        <v>25.0</v>
      </c>
      <c r="AA216" s="132">
        <v>26.0</v>
      </c>
      <c r="AB216" s="132">
        <v>27.0</v>
      </c>
      <c r="AC216" s="132">
        <v>28.0</v>
      </c>
      <c r="AD216" s="132">
        <v>29.0</v>
      </c>
      <c r="AE216" s="132">
        <v>30.0</v>
      </c>
      <c r="AF216" s="132">
        <v>31.0</v>
      </c>
      <c r="AG216" s="132">
        <v>32.0</v>
      </c>
      <c r="AH216" s="132">
        <v>33.0</v>
      </c>
      <c r="AI216" s="132">
        <v>34.0</v>
      </c>
      <c r="AJ216" s="132">
        <v>35.0</v>
      </c>
      <c r="AK216" s="132">
        <v>36.0</v>
      </c>
      <c r="AL216" s="132">
        <v>37.0</v>
      </c>
      <c r="AM216" s="132">
        <v>38.0</v>
      </c>
      <c r="AN216" s="132">
        <v>39.0</v>
      </c>
      <c r="AO216" s="132">
        <v>40.0</v>
      </c>
      <c r="AP216" s="132">
        <v>41.0</v>
      </c>
      <c r="AQ216" s="132">
        <v>42.0</v>
      </c>
      <c r="AR216" s="132">
        <v>43.0</v>
      </c>
      <c r="AS216" s="132">
        <v>44.0</v>
      </c>
      <c r="AT216" s="132">
        <v>45.0</v>
      </c>
      <c r="AU216" s="132">
        <v>46.0</v>
      </c>
      <c r="AV216" s="132">
        <v>47.0</v>
      </c>
      <c r="AW216" s="132">
        <v>48.0</v>
      </c>
      <c r="AX216" s="132">
        <v>49.0</v>
      </c>
      <c r="AY216" s="132">
        <v>50.0</v>
      </c>
      <c r="AZ216" s="132">
        <v>51.0</v>
      </c>
      <c r="BA216" s="132">
        <v>52.0</v>
      </c>
    </row>
    <row r="217" ht="14.25" customHeight="1">
      <c r="A217" s="133" t="s">
        <v>506</v>
      </c>
      <c r="B217" s="76">
        <v>0.0</v>
      </c>
      <c r="C217" s="76">
        <v>0.0</v>
      </c>
      <c r="D217" s="76">
        <v>0.0</v>
      </c>
      <c r="E217" s="76">
        <v>0.0</v>
      </c>
      <c r="F217" s="76">
        <v>0.0</v>
      </c>
      <c r="G217" s="76">
        <v>0.0</v>
      </c>
      <c r="H217" s="76">
        <v>1.0</v>
      </c>
      <c r="I217" s="76">
        <v>0.0</v>
      </c>
      <c r="J217" s="76">
        <v>0.0</v>
      </c>
      <c r="K217" s="76">
        <v>0.0</v>
      </c>
      <c r="L217" s="76">
        <v>1.0</v>
      </c>
      <c r="M217" s="76">
        <v>0.0</v>
      </c>
      <c r="N217" s="76">
        <v>1.0</v>
      </c>
      <c r="O217" s="76">
        <v>0.0</v>
      </c>
      <c r="P217" s="76">
        <v>0.0</v>
      </c>
      <c r="Q217" s="76">
        <v>0.0</v>
      </c>
      <c r="R217" s="76">
        <v>0.0</v>
      </c>
      <c r="S217" s="76">
        <v>0.0</v>
      </c>
      <c r="T217" s="76">
        <v>2.0</v>
      </c>
      <c r="U217" s="76">
        <v>2.0</v>
      </c>
      <c r="V217" s="76">
        <v>0.0</v>
      </c>
      <c r="W217" s="76">
        <v>0.0</v>
      </c>
      <c r="X217" s="76">
        <v>3.0</v>
      </c>
      <c r="Y217" s="76">
        <v>0.0</v>
      </c>
      <c r="Z217" s="76">
        <v>0.0</v>
      </c>
      <c r="AA217" s="76">
        <v>3.0</v>
      </c>
      <c r="AB217" s="76">
        <v>0.0</v>
      </c>
      <c r="AC217" s="76">
        <v>0.0</v>
      </c>
      <c r="AD217" s="76">
        <v>0.0</v>
      </c>
      <c r="AE217" s="76">
        <v>0.0</v>
      </c>
      <c r="AF217" s="76">
        <v>5.0</v>
      </c>
      <c r="AG217" s="76">
        <v>0.0</v>
      </c>
      <c r="AH217" s="76">
        <v>4.0</v>
      </c>
      <c r="AI217" s="76">
        <v>0.0</v>
      </c>
      <c r="AJ217" s="76">
        <v>0.0</v>
      </c>
      <c r="AK217" s="76">
        <v>2.0</v>
      </c>
      <c r="AL217" s="76">
        <v>3.0</v>
      </c>
      <c r="AM217" s="76">
        <v>3.0</v>
      </c>
      <c r="AN217" s="76">
        <v>0.0</v>
      </c>
      <c r="AO217" s="76">
        <v>3.0</v>
      </c>
      <c r="AP217" s="134">
        <v>4.0</v>
      </c>
      <c r="AQ217" s="76">
        <v>5.0</v>
      </c>
      <c r="AR217" s="134">
        <v>6.0</v>
      </c>
      <c r="AS217" s="76">
        <v>5.0</v>
      </c>
      <c r="AT217" s="134">
        <v>4.0</v>
      </c>
      <c r="AU217" s="134">
        <v>5.0</v>
      </c>
      <c r="AV217" s="134">
        <v>4.0</v>
      </c>
      <c r="AW217" s="134">
        <v>3.0</v>
      </c>
      <c r="AX217" s="76">
        <v>6.0</v>
      </c>
      <c r="AY217" s="76">
        <v>8.0</v>
      </c>
      <c r="AZ217" s="134">
        <v>5.0</v>
      </c>
      <c r="BA217" s="134">
        <v>5.0</v>
      </c>
    </row>
    <row r="218" ht="14.25" customHeight="1">
      <c r="A218" s="133" t="s">
        <v>507</v>
      </c>
      <c r="B218" s="76">
        <v>0.0</v>
      </c>
      <c r="C218" s="76">
        <v>0.0</v>
      </c>
      <c r="D218" s="76">
        <v>0.0</v>
      </c>
      <c r="E218" s="76">
        <v>0.0</v>
      </c>
      <c r="F218" s="76">
        <v>0.0</v>
      </c>
      <c r="G218" s="76">
        <v>0.0</v>
      </c>
      <c r="H218" s="76">
        <v>0.0</v>
      </c>
      <c r="I218" s="76">
        <v>0.0</v>
      </c>
      <c r="J218" s="76">
        <v>0.0</v>
      </c>
      <c r="K218" s="76">
        <v>0.0</v>
      </c>
      <c r="L218" s="76">
        <v>0.0</v>
      </c>
      <c r="M218" s="76">
        <v>0.0</v>
      </c>
      <c r="N218" s="76">
        <v>0.0</v>
      </c>
      <c r="O218" s="76">
        <v>0.0</v>
      </c>
      <c r="P218" s="76">
        <v>0.0</v>
      </c>
      <c r="Q218" s="76">
        <v>0.0</v>
      </c>
      <c r="R218" s="76">
        <v>0.0</v>
      </c>
      <c r="S218" s="76">
        <v>2.0</v>
      </c>
      <c r="T218" s="76">
        <v>2.0</v>
      </c>
      <c r="U218" s="76">
        <v>0.0</v>
      </c>
      <c r="V218" s="76">
        <v>2.0</v>
      </c>
      <c r="W218" s="76">
        <v>0.0</v>
      </c>
      <c r="X218" s="76">
        <v>4.0</v>
      </c>
      <c r="Y218" s="76">
        <v>0.0</v>
      </c>
      <c r="Z218" s="76">
        <v>4.0</v>
      </c>
      <c r="AA218" s="76">
        <v>1.0</v>
      </c>
      <c r="AB218" s="76">
        <v>0.0</v>
      </c>
      <c r="AC218" s="76">
        <v>0.0</v>
      </c>
      <c r="AD218" s="76">
        <v>0.0</v>
      </c>
      <c r="AE218" s="76">
        <v>4.0</v>
      </c>
      <c r="AF218" s="76">
        <v>0.0</v>
      </c>
      <c r="AG218" s="76">
        <v>4.0</v>
      </c>
      <c r="AH218" s="76">
        <v>5.0</v>
      </c>
      <c r="AI218" s="76">
        <v>0.0</v>
      </c>
      <c r="AJ218" s="76">
        <v>4.0</v>
      </c>
      <c r="AK218" s="76">
        <v>0.0</v>
      </c>
      <c r="AL218" s="76">
        <v>0.0</v>
      </c>
      <c r="AM218" s="76">
        <v>6.0</v>
      </c>
      <c r="AN218" s="76">
        <v>4.0</v>
      </c>
      <c r="AO218" s="76">
        <v>3.0</v>
      </c>
      <c r="AP218" s="134">
        <v>4.0</v>
      </c>
      <c r="AQ218" s="134">
        <v>5.0</v>
      </c>
      <c r="AR218" s="76">
        <v>3.0</v>
      </c>
      <c r="AS218" s="76">
        <v>3.0</v>
      </c>
      <c r="AT218" s="134">
        <v>5.0</v>
      </c>
      <c r="AU218" s="76">
        <v>4.0</v>
      </c>
      <c r="AV218" s="134">
        <v>5.0</v>
      </c>
      <c r="AW218" s="76">
        <v>3.0</v>
      </c>
      <c r="AX218" s="134">
        <v>5.0</v>
      </c>
      <c r="AY218" s="134">
        <v>4.0</v>
      </c>
      <c r="AZ218" s="134">
        <v>4.0</v>
      </c>
      <c r="BA218" s="134">
        <v>5.0</v>
      </c>
    </row>
    <row r="219" ht="14.25" customHeight="1">
      <c r="A219" s="133" t="s">
        <v>508</v>
      </c>
      <c r="B219" s="76">
        <v>0.0</v>
      </c>
      <c r="C219" s="76">
        <v>0.0</v>
      </c>
      <c r="D219" s="76">
        <v>0.0</v>
      </c>
      <c r="E219" s="76">
        <v>0.0</v>
      </c>
      <c r="F219" s="76">
        <v>0.0</v>
      </c>
      <c r="G219" s="76">
        <v>0.0</v>
      </c>
      <c r="H219" s="76">
        <v>0.0</v>
      </c>
      <c r="I219" s="76">
        <v>0.0</v>
      </c>
      <c r="J219" s="76">
        <v>0.0</v>
      </c>
      <c r="K219" s="76">
        <v>0.0</v>
      </c>
      <c r="L219" s="76">
        <v>0.0</v>
      </c>
      <c r="M219" s="76">
        <v>0.0</v>
      </c>
      <c r="N219" s="76">
        <v>0.0</v>
      </c>
      <c r="O219" s="76">
        <v>0.0</v>
      </c>
      <c r="P219" s="76">
        <v>0.0</v>
      </c>
      <c r="Q219" s="76">
        <v>0.0</v>
      </c>
      <c r="R219" s="76">
        <v>0.0</v>
      </c>
      <c r="S219" s="76">
        <v>0.0</v>
      </c>
      <c r="T219" s="76">
        <v>0.0</v>
      </c>
      <c r="U219" s="76">
        <v>0.0</v>
      </c>
      <c r="V219" s="76">
        <v>0.0</v>
      </c>
      <c r="W219" s="76">
        <v>0.0</v>
      </c>
      <c r="X219" s="76">
        <v>0.0</v>
      </c>
      <c r="Y219" s="76">
        <v>1.0</v>
      </c>
      <c r="Z219" s="76">
        <v>0.0</v>
      </c>
      <c r="AA219" s="76">
        <v>0.0</v>
      </c>
      <c r="AB219" s="76">
        <v>1.0</v>
      </c>
      <c r="AC219" s="76">
        <v>0.0</v>
      </c>
      <c r="AD219" s="76">
        <v>0.0</v>
      </c>
      <c r="AE219" s="76">
        <v>1.0</v>
      </c>
      <c r="AF219" s="76">
        <v>0.0</v>
      </c>
      <c r="AG219" s="76">
        <v>0.0</v>
      </c>
      <c r="AH219" s="76">
        <v>1.0</v>
      </c>
      <c r="AI219" s="76">
        <v>0.0</v>
      </c>
      <c r="AJ219" s="76">
        <v>0.0</v>
      </c>
      <c r="AK219" s="76">
        <v>1.0</v>
      </c>
      <c r="AL219" s="76">
        <v>0.0</v>
      </c>
      <c r="AM219" s="76">
        <v>0.0</v>
      </c>
      <c r="AN219" s="134">
        <v>0.0</v>
      </c>
      <c r="AO219" s="76">
        <v>0.0</v>
      </c>
      <c r="AP219" s="76">
        <v>0.0</v>
      </c>
      <c r="AQ219" s="134">
        <v>2.0</v>
      </c>
      <c r="AR219" s="76">
        <v>0.0</v>
      </c>
      <c r="AS219" s="76">
        <v>0.0</v>
      </c>
      <c r="AT219" s="76">
        <v>1.0</v>
      </c>
      <c r="AU219" s="76">
        <v>0.0</v>
      </c>
      <c r="AV219" s="76">
        <v>0.0</v>
      </c>
      <c r="AW219" s="76">
        <v>1.0</v>
      </c>
      <c r="AX219" s="76">
        <v>0.0</v>
      </c>
      <c r="AY219" s="134">
        <v>1.0</v>
      </c>
      <c r="AZ219" s="76">
        <v>1.0</v>
      </c>
      <c r="BA219" s="76">
        <v>0.0</v>
      </c>
    </row>
    <row r="220" ht="14.25" customHeight="1">
      <c r="A220" s="120" t="s">
        <v>509</v>
      </c>
      <c r="B220" s="120">
        <f t="shared" ref="B220:BA220" si="1">SUM(B217:B219)</f>
        <v>0</v>
      </c>
      <c r="C220" s="120">
        <f t="shared" si="1"/>
        <v>0</v>
      </c>
      <c r="D220" s="120">
        <f t="shared" si="1"/>
        <v>0</v>
      </c>
      <c r="E220" s="120">
        <f t="shared" si="1"/>
        <v>0</v>
      </c>
      <c r="F220" s="120">
        <f t="shared" si="1"/>
        <v>0</v>
      </c>
      <c r="G220" s="120">
        <f t="shared" si="1"/>
        <v>0</v>
      </c>
      <c r="H220" s="120">
        <f t="shared" si="1"/>
        <v>1</v>
      </c>
      <c r="I220" s="120">
        <f t="shared" si="1"/>
        <v>0</v>
      </c>
      <c r="J220" s="120">
        <f t="shared" si="1"/>
        <v>0</v>
      </c>
      <c r="K220" s="120">
        <f t="shared" si="1"/>
        <v>0</v>
      </c>
      <c r="L220" s="120">
        <f t="shared" si="1"/>
        <v>1</v>
      </c>
      <c r="M220" s="120">
        <f t="shared" si="1"/>
        <v>0</v>
      </c>
      <c r="N220" s="120">
        <f t="shared" si="1"/>
        <v>1</v>
      </c>
      <c r="O220" s="120">
        <f t="shared" si="1"/>
        <v>0</v>
      </c>
      <c r="P220" s="120">
        <f t="shared" si="1"/>
        <v>0</v>
      </c>
      <c r="Q220" s="120">
        <f t="shared" si="1"/>
        <v>0</v>
      </c>
      <c r="R220" s="120">
        <f t="shared" si="1"/>
        <v>0</v>
      </c>
      <c r="S220" s="120">
        <f t="shared" si="1"/>
        <v>2</v>
      </c>
      <c r="T220" s="120">
        <f t="shared" si="1"/>
        <v>4</v>
      </c>
      <c r="U220" s="120">
        <f t="shared" si="1"/>
        <v>2</v>
      </c>
      <c r="V220" s="120">
        <f t="shared" si="1"/>
        <v>2</v>
      </c>
      <c r="W220" s="120">
        <f t="shared" si="1"/>
        <v>0</v>
      </c>
      <c r="X220" s="120">
        <f t="shared" si="1"/>
        <v>7</v>
      </c>
      <c r="Y220" s="120">
        <f t="shared" si="1"/>
        <v>1</v>
      </c>
      <c r="Z220" s="120">
        <f t="shared" si="1"/>
        <v>4</v>
      </c>
      <c r="AA220" s="120">
        <f t="shared" si="1"/>
        <v>4</v>
      </c>
      <c r="AB220" s="120">
        <f t="shared" si="1"/>
        <v>1</v>
      </c>
      <c r="AC220" s="120">
        <f t="shared" si="1"/>
        <v>0</v>
      </c>
      <c r="AD220" s="120">
        <f t="shared" si="1"/>
        <v>0</v>
      </c>
      <c r="AE220" s="120">
        <f t="shared" si="1"/>
        <v>5</v>
      </c>
      <c r="AF220" s="120">
        <f t="shared" si="1"/>
        <v>5</v>
      </c>
      <c r="AG220" s="120">
        <f t="shared" si="1"/>
        <v>4</v>
      </c>
      <c r="AH220" s="120">
        <f t="shared" si="1"/>
        <v>10</v>
      </c>
      <c r="AI220" s="120">
        <f t="shared" si="1"/>
        <v>0</v>
      </c>
      <c r="AJ220" s="120">
        <f t="shared" si="1"/>
        <v>4</v>
      </c>
      <c r="AK220" s="120">
        <f t="shared" si="1"/>
        <v>3</v>
      </c>
      <c r="AL220" s="120">
        <f t="shared" si="1"/>
        <v>3</v>
      </c>
      <c r="AM220" s="120">
        <f t="shared" si="1"/>
        <v>9</v>
      </c>
      <c r="AN220" s="120">
        <f t="shared" si="1"/>
        <v>4</v>
      </c>
      <c r="AO220" s="120">
        <f t="shared" si="1"/>
        <v>6</v>
      </c>
      <c r="AP220" s="120">
        <f t="shared" si="1"/>
        <v>8</v>
      </c>
      <c r="AQ220" s="120">
        <f t="shared" si="1"/>
        <v>12</v>
      </c>
      <c r="AR220" s="120">
        <f t="shared" si="1"/>
        <v>9</v>
      </c>
      <c r="AS220" s="120">
        <f t="shared" si="1"/>
        <v>8</v>
      </c>
      <c r="AT220" s="120">
        <f t="shared" si="1"/>
        <v>10</v>
      </c>
      <c r="AU220" s="120">
        <f t="shared" si="1"/>
        <v>9</v>
      </c>
      <c r="AV220" s="120">
        <f t="shared" si="1"/>
        <v>9</v>
      </c>
      <c r="AW220" s="120">
        <f t="shared" si="1"/>
        <v>7</v>
      </c>
      <c r="AX220" s="120">
        <f t="shared" si="1"/>
        <v>11</v>
      </c>
      <c r="AY220" s="120">
        <f t="shared" si="1"/>
        <v>13</v>
      </c>
      <c r="AZ220" s="120">
        <f t="shared" si="1"/>
        <v>10</v>
      </c>
      <c r="BA220" s="120">
        <f t="shared" si="1"/>
        <v>10</v>
      </c>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C177:C196">
      <formula1>"JA,NEIN"</formula1>
    </dataValidation>
  </dataValidations>
  <printOptions/>
  <pageMargins bottom="0.787401575" footer="0.0" header="0.0" left="0.7" right="0.7" top="0.7874015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3" width="10.71"/>
    <col customWidth="1" min="4" max="4" width="22.0"/>
    <col customWidth="1" min="5" max="5" width="17.43"/>
    <col customWidth="1" min="7" max="7" width="13.57"/>
    <col customWidth="1" min="8" max="8" width="13.0"/>
    <col customWidth="1" min="9" max="9" width="13.71"/>
    <col customWidth="1" min="10" max="26" width="10.71"/>
  </cols>
  <sheetData>
    <row r="1" ht="14.25" customHeight="1">
      <c r="A1" s="11" t="s">
        <v>510</v>
      </c>
      <c r="B1" s="14"/>
      <c r="C1" s="14"/>
      <c r="D1" s="14"/>
      <c r="E1" s="14"/>
      <c r="F1" s="14"/>
      <c r="G1" s="14"/>
      <c r="H1" s="14"/>
      <c r="I1" s="14"/>
      <c r="J1" s="14"/>
      <c r="K1" s="14"/>
      <c r="L1" s="14"/>
      <c r="M1" s="14"/>
      <c r="N1" s="14"/>
    </row>
    <row r="2" ht="14.25" customHeight="1"/>
    <row r="3" ht="14.25" customHeight="1">
      <c r="A3" s="135" t="s">
        <v>511</v>
      </c>
      <c r="B3" s="52"/>
      <c r="C3" s="52"/>
      <c r="D3" s="52"/>
      <c r="E3" s="52"/>
      <c r="F3" s="52"/>
      <c r="G3" s="52"/>
      <c r="H3" s="52"/>
      <c r="I3" s="52"/>
      <c r="J3" s="52"/>
      <c r="K3" s="52"/>
      <c r="L3" s="52"/>
      <c r="M3" s="52"/>
      <c r="N3" s="52"/>
    </row>
    <row r="4" ht="28.5" customHeight="1">
      <c r="A4" s="132" t="s">
        <v>512</v>
      </c>
      <c r="B4" s="132" t="s">
        <v>513</v>
      </c>
      <c r="C4" s="132" t="s">
        <v>394</v>
      </c>
      <c r="D4" s="132" t="s">
        <v>514</v>
      </c>
      <c r="E4" s="132" t="s">
        <v>515</v>
      </c>
      <c r="G4" s="136" t="s">
        <v>516</v>
      </c>
      <c r="H4" s="136" t="s">
        <v>517</v>
      </c>
      <c r="I4" s="136" t="s">
        <v>518</v>
      </c>
    </row>
    <row r="5" ht="14.25" customHeight="1">
      <c r="A5" s="137" t="s">
        <v>519</v>
      </c>
      <c r="B5" s="7" t="s">
        <v>520</v>
      </c>
      <c r="C5" s="7">
        <v>4.0</v>
      </c>
      <c r="D5" s="50" t="s">
        <v>521</v>
      </c>
      <c r="E5" s="50" t="s">
        <v>522</v>
      </c>
      <c r="F5" s="50"/>
      <c r="G5" s="138"/>
      <c r="H5" s="138"/>
      <c r="I5" s="138"/>
    </row>
    <row r="6" ht="14.25" customHeight="1">
      <c r="A6" s="139" t="s">
        <v>501</v>
      </c>
      <c r="B6" s="7" t="s">
        <v>523</v>
      </c>
      <c r="C6" s="7">
        <v>12.0</v>
      </c>
      <c r="D6" s="50" t="s">
        <v>524</v>
      </c>
      <c r="E6" s="50" t="s">
        <v>525</v>
      </c>
      <c r="F6" s="50"/>
      <c r="G6" s="140" t="s">
        <v>526</v>
      </c>
      <c r="H6" s="138"/>
      <c r="I6" s="138"/>
    </row>
    <row r="7" ht="14.25" customHeight="1">
      <c r="A7" s="141" t="s">
        <v>502</v>
      </c>
      <c r="B7" s="7" t="s">
        <v>527</v>
      </c>
      <c r="C7" s="7">
        <v>12.0</v>
      </c>
      <c r="D7" s="50" t="s">
        <v>528</v>
      </c>
      <c r="E7" s="50" t="s">
        <v>529</v>
      </c>
      <c r="F7" s="50"/>
      <c r="G7" s="138"/>
      <c r="H7" s="138"/>
      <c r="I7" s="138"/>
    </row>
    <row r="8" ht="14.25" customHeight="1">
      <c r="A8" s="142" t="s">
        <v>503</v>
      </c>
      <c r="B8" s="7" t="s">
        <v>530</v>
      </c>
      <c r="C8" s="7">
        <v>12.0</v>
      </c>
      <c r="D8" s="50" t="s">
        <v>531</v>
      </c>
      <c r="E8" s="50" t="s">
        <v>532</v>
      </c>
      <c r="F8" s="50"/>
      <c r="G8" s="138"/>
      <c r="H8" s="138"/>
      <c r="I8" s="138"/>
    </row>
    <row r="9" ht="14.25" customHeight="1">
      <c r="A9" s="143" t="s">
        <v>504</v>
      </c>
      <c r="B9" s="7" t="s">
        <v>533</v>
      </c>
      <c r="C9" s="7">
        <v>12.0</v>
      </c>
      <c r="D9" s="50" t="s">
        <v>534</v>
      </c>
      <c r="E9" s="50" t="s">
        <v>535</v>
      </c>
      <c r="F9" s="50"/>
      <c r="G9" s="138"/>
      <c r="H9" s="138"/>
      <c r="I9" s="138"/>
    </row>
    <row r="10" ht="14.25" customHeight="1"/>
    <row r="11" ht="14.25" customHeight="1">
      <c r="A11" s="135" t="s">
        <v>536</v>
      </c>
      <c r="B11" s="52"/>
      <c r="C11" s="52"/>
      <c r="D11" s="52"/>
      <c r="E11" s="52"/>
      <c r="F11" s="52"/>
      <c r="G11" s="52"/>
      <c r="H11" s="52"/>
      <c r="I11" s="52"/>
      <c r="J11" s="52"/>
      <c r="K11" s="52"/>
      <c r="L11" s="52"/>
      <c r="M11" s="52"/>
      <c r="N11" s="52"/>
    </row>
    <row r="12" ht="14.25" customHeight="1">
      <c r="A12" s="132" t="s">
        <v>537</v>
      </c>
      <c r="B12" s="132" t="s">
        <v>147</v>
      </c>
      <c r="C12" s="132" t="s">
        <v>538</v>
      </c>
      <c r="D12" s="132" t="s">
        <v>539</v>
      </c>
    </row>
    <row r="13" ht="14.25" customHeight="1">
      <c r="A13" s="7" t="s">
        <v>519</v>
      </c>
      <c r="B13" s="7">
        <f>'2_Inputs'!B10</f>
        <v>4</v>
      </c>
      <c r="C13" s="59">
        <f>'2_Inputs'!B9</f>
        <v>120000</v>
      </c>
      <c r="D13" s="59">
        <f>C13</f>
        <v>120000</v>
      </c>
    </row>
    <row r="14" ht="14.25" customHeight="1">
      <c r="A14" s="7" t="s">
        <v>501</v>
      </c>
      <c r="B14" s="7">
        <f>'2_Inputs'!B12</f>
        <v>0</v>
      </c>
      <c r="C14" s="59">
        <f>'2_Inputs'!B11</f>
        <v>0</v>
      </c>
      <c r="D14" s="59">
        <f t="shared" ref="D14:D16" si="1">D13+C14</f>
        <v>120000</v>
      </c>
    </row>
    <row r="15" ht="14.25" customHeight="1">
      <c r="A15" s="7" t="s">
        <v>502</v>
      </c>
      <c r="B15" s="7">
        <f>'2_Inputs'!B14</f>
        <v>17</v>
      </c>
      <c r="C15" s="59">
        <f>'2_Inputs'!B13</f>
        <v>2000000</v>
      </c>
      <c r="D15" s="59">
        <f t="shared" si="1"/>
        <v>2120000</v>
      </c>
    </row>
    <row r="16" ht="14.25" customHeight="1">
      <c r="A16" s="7" t="s">
        <v>503</v>
      </c>
      <c r="B16" s="7">
        <f>'2_Inputs'!B16</f>
        <v>29</v>
      </c>
      <c r="C16" s="59">
        <f>'2_Inputs'!B15</f>
        <v>10000000</v>
      </c>
      <c r="D16" s="59">
        <f t="shared" si="1"/>
        <v>12120000</v>
      </c>
    </row>
    <row r="17" ht="14.25" customHeight="1"/>
    <row r="18" ht="14.25" customHeight="1">
      <c r="A18" s="135" t="s">
        <v>540</v>
      </c>
      <c r="B18" s="52"/>
      <c r="C18" s="52"/>
      <c r="D18" s="52"/>
      <c r="E18" s="52"/>
      <c r="F18" s="52"/>
      <c r="G18" s="52"/>
      <c r="H18" s="52"/>
      <c r="I18" s="52"/>
      <c r="J18" s="52"/>
      <c r="K18" s="52"/>
      <c r="L18" s="52"/>
      <c r="M18" s="52"/>
      <c r="N18" s="52"/>
    </row>
    <row r="19" ht="14.25" customHeight="1">
      <c r="A19" s="144" t="s">
        <v>541</v>
      </c>
      <c r="B19" s="145" t="s">
        <v>542</v>
      </c>
      <c r="C19" s="146" t="s">
        <v>543</v>
      </c>
      <c r="D19" s="147" t="s">
        <v>544</v>
      </c>
      <c r="E19" s="148" t="s">
        <v>545</v>
      </c>
      <c r="F19" s="149" t="s">
        <v>546</v>
      </c>
    </row>
    <row r="20" ht="14.25" customHeight="1">
      <c r="A20" s="7" t="s">
        <v>547</v>
      </c>
      <c r="B20" s="59">
        <f>SUMPRODUCT('4_Revenue'!B5:E5)</f>
        <v>0</v>
      </c>
      <c r="C20" s="59">
        <f>SUMPRODUCT('4_Revenue'!B5:Q5)</f>
        <v>3</v>
      </c>
      <c r="D20" s="59">
        <f>SUMPRODUCT('4_Revenue'!B5:AC5)</f>
        <v>13</v>
      </c>
      <c r="E20" s="59">
        <f>SUMPRODUCT('4_Revenue'!B5:AO5)</f>
        <v>33</v>
      </c>
      <c r="F20" s="59">
        <f>SUMPRODUCT('4_Revenue'!B5:BA5)</f>
        <v>93</v>
      </c>
    </row>
    <row r="21" ht="14.25" customHeight="1">
      <c r="A21" s="7" t="s">
        <v>548</v>
      </c>
      <c r="B21" s="59">
        <f>SUMPRODUCT('4_Revenue'!B12:E12)</f>
        <v>0</v>
      </c>
      <c r="C21" s="59">
        <f>SUMPRODUCT('4_Revenue'!B12:Q12)</f>
        <v>0</v>
      </c>
      <c r="D21" s="59">
        <f>SUMPRODUCT('4_Revenue'!B12:AC12)</f>
        <v>15</v>
      </c>
      <c r="E21" s="59">
        <f>SUMPRODUCT('4_Revenue'!B12:AO12)</f>
        <v>45</v>
      </c>
      <c r="F21" s="59">
        <f>SUMPRODUCT('4_Revenue'!B12:BA12)</f>
        <v>95</v>
      </c>
    </row>
    <row r="22" ht="14.25" customHeight="1">
      <c r="A22" s="7" t="s">
        <v>549</v>
      </c>
      <c r="B22" s="59">
        <f>SUMPRODUCT('4_Revenue'!B19:E19)</f>
        <v>0</v>
      </c>
      <c r="C22" s="59">
        <f>SUMPRODUCT('4_Revenue'!B19:Q19)</f>
        <v>0</v>
      </c>
      <c r="D22" s="59">
        <f>SUMPRODUCT('4_Revenue'!B19:AC19)</f>
        <v>2</v>
      </c>
      <c r="E22" s="59">
        <f>SUMPRODUCT('4_Revenue'!B19:AO19)</f>
        <v>5</v>
      </c>
      <c r="F22" s="59">
        <f>SUMPRODUCT('4_Revenue'!B19:BA19)</f>
        <v>11</v>
      </c>
    </row>
    <row r="23" ht="14.25" customHeight="1">
      <c r="A23" s="7" t="s">
        <v>550</v>
      </c>
      <c r="B23" s="59">
        <f>'4_Revenue'!E8+'4_Revenue'!E15</f>
        <v>0</v>
      </c>
      <c r="C23" s="59">
        <f>'4_Revenue'!Q8+'4_Revenue'!Q15</f>
        <v>18</v>
      </c>
      <c r="D23" s="59">
        <f>'4_Revenue'!AC8+'4_Revenue'!AC15</f>
        <v>254</v>
      </c>
      <c r="E23" s="59">
        <f>'4_Revenue'!AO8+'4_Revenue'!AO15</f>
        <v>710</v>
      </c>
      <c r="F23" s="59">
        <f>'4_Revenue'!BA8+'4_Revenue'!BA15</f>
        <v>1614</v>
      </c>
    </row>
    <row r="24" ht="14.25" customHeight="1">
      <c r="A24" s="8" t="s">
        <v>551</v>
      </c>
      <c r="B24" s="150">
        <f>'4_Revenue'!E25</f>
        <v>0</v>
      </c>
      <c r="C24" s="150">
        <f>'4_Revenue'!Q25</f>
        <v>8611.2</v>
      </c>
      <c r="D24" s="150">
        <f>'4_Revenue'!AC25</f>
        <v>148712.7893</v>
      </c>
      <c r="E24" s="150">
        <f>'4_Revenue'!AO25</f>
        <v>431681.5582</v>
      </c>
      <c r="F24" s="150">
        <f>'4_Revenue'!BA25</f>
        <v>1010609.614</v>
      </c>
    </row>
    <row r="25" ht="14.25" customHeight="1"/>
    <row r="26" ht="14.25" customHeight="1">
      <c r="A26" s="135" t="s">
        <v>552</v>
      </c>
      <c r="B26" s="52"/>
      <c r="C26" s="52"/>
      <c r="D26" s="52"/>
      <c r="E26" s="52"/>
      <c r="F26" s="52"/>
      <c r="G26" s="52"/>
      <c r="H26" s="52"/>
      <c r="I26" s="52"/>
      <c r="J26" s="52"/>
      <c r="K26" s="52"/>
      <c r="L26" s="52"/>
      <c r="M26" s="52"/>
      <c r="N26" s="52"/>
    </row>
    <row r="27" ht="14.25" customHeight="1">
      <c r="A27" s="144" t="s">
        <v>553</v>
      </c>
      <c r="B27" s="145" t="s">
        <v>519</v>
      </c>
      <c r="C27" s="146" t="s">
        <v>501</v>
      </c>
      <c r="D27" s="147" t="s">
        <v>502</v>
      </c>
      <c r="E27" s="148" t="s">
        <v>503</v>
      </c>
      <c r="F27" s="149" t="s">
        <v>504</v>
      </c>
    </row>
    <row r="28" ht="14.25" customHeight="1">
      <c r="A28" s="7" t="s">
        <v>167</v>
      </c>
      <c r="B28" s="59">
        <f>AVERAGE('5_Costs'!B13:E13)</f>
        <v>0</v>
      </c>
      <c r="C28" s="59">
        <f>AVERAGE('5_Costs'!F13:Q13)</f>
        <v>42980.10833</v>
      </c>
      <c r="D28" s="59">
        <f>AVERAGE('5_Costs'!R13:AC13)</f>
        <v>86826.03678</v>
      </c>
      <c r="E28" s="59">
        <f>AVERAGE('5_Costs'!AD13:AO13)</f>
        <v>106374.3203</v>
      </c>
      <c r="F28" s="59">
        <f>AVERAGE('5_Costs'!AP13:BA13)</f>
        <v>113786.1799</v>
      </c>
    </row>
    <row r="29" ht="14.25" customHeight="1">
      <c r="A29" s="7" t="s">
        <v>554</v>
      </c>
      <c r="B29" s="59">
        <f>AVERAGE('5_Costs'!B18:E18)</f>
        <v>0</v>
      </c>
      <c r="C29" s="59">
        <f>AVERAGE('5_Costs'!F18:Q18)</f>
        <v>1850</v>
      </c>
      <c r="D29" s="59">
        <f>AVERAGE('5_Costs'!R18:AC18)</f>
        <v>16948.33333</v>
      </c>
      <c r="E29" s="59">
        <f>AVERAGE('5_Costs'!AD18:AO18)</f>
        <v>49542.5</v>
      </c>
      <c r="F29" s="59">
        <f>AVERAGE('5_Costs'!AP18:BA18)</f>
        <v>117542.5</v>
      </c>
    </row>
    <row r="30" ht="14.25" customHeight="1">
      <c r="A30" s="7" t="s">
        <v>555</v>
      </c>
      <c r="B30" s="59">
        <f>AVERAGE('5_Costs'!B24:E24)</f>
        <v>0</v>
      </c>
      <c r="C30" s="59">
        <f>AVERAGE('5_Costs'!F24:Q24)</f>
        <v>1133.333333</v>
      </c>
      <c r="D30" s="59">
        <f>AVERAGE('5_Costs'!R24:AC24)</f>
        <v>4040</v>
      </c>
      <c r="E30" s="59">
        <f>AVERAGE('5_Costs'!AD24:AO24)</f>
        <v>5040</v>
      </c>
      <c r="F30" s="59">
        <f>AVERAGE('5_Costs'!AP24:BA24)</f>
        <v>5040</v>
      </c>
    </row>
    <row r="31" ht="14.25" customHeight="1">
      <c r="A31" s="7" t="s">
        <v>556</v>
      </c>
      <c r="B31" s="59">
        <f>AVERAGE('5_Costs'!B30:E30)</f>
        <v>0</v>
      </c>
      <c r="C31" s="59">
        <f>AVERAGE('5_Costs'!F30:Q30)</f>
        <v>1100</v>
      </c>
      <c r="D31" s="59">
        <f>AVERAGE('5_Costs'!R30:AC30)</f>
        <v>6766.666667</v>
      </c>
      <c r="E31" s="59">
        <f>AVERAGE('5_Costs'!AD30:AO30)</f>
        <v>14033.33333</v>
      </c>
      <c r="F31" s="59">
        <f>AVERAGE('5_Costs'!AP30:BA30)</f>
        <v>15333.33333</v>
      </c>
    </row>
    <row r="32" ht="14.25" customHeight="1">
      <c r="A32" s="7" t="s">
        <v>557</v>
      </c>
      <c r="B32" s="59">
        <f>AVERAGE('5_Costs'!B35:E35)</f>
        <v>92</v>
      </c>
      <c r="C32" s="59">
        <f>AVERAGE('5_Costs'!F35:Q35)</f>
        <v>750</v>
      </c>
      <c r="D32" s="59">
        <f>AVERAGE('5_Costs'!R35:AC35)</f>
        <v>1150</v>
      </c>
      <c r="E32" s="59">
        <f>AVERAGE('5_Costs'!AD35:AO35)</f>
        <v>1500</v>
      </c>
      <c r="F32" s="59">
        <f>AVERAGE('5_Costs'!AP35:BA35)</f>
        <v>1850</v>
      </c>
    </row>
    <row r="33" ht="14.25" customHeight="1">
      <c r="A33" s="7" t="s">
        <v>558</v>
      </c>
      <c r="B33" s="59">
        <f>AVERAGE('5_Costs'!B40:E40)</f>
        <v>1633.333333</v>
      </c>
      <c r="C33" s="59">
        <f>AVERAGE('5_Costs'!F40:Q40)</f>
        <v>3227.541333</v>
      </c>
      <c r="D33" s="59">
        <f>AVERAGE('5_Costs'!R40:AC40)</f>
        <v>7723.817369</v>
      </c>
      <c r="E33" s="59">
        <f>AVERAGE('5_Costs'!AD40:AO40)</f>
        <v>18084.7731</v>
      </c>
      <c r="F33" s="59">
        <f>AVERAGE('5_Costs'!AP40:BA40)</f>
        <v>32006.94779</v>
      </c>
    </row>
    <row r="34" ht="14.25" customHeight="1">
      <c r="A34" s="7" t="s">
        <v>559</v>
      </c>
      <c r="B34" s="59">
        <f>AVERAGE('5_Costs'!B45:E45)</f>
        <v>350</v>
      </c>
      <c r="C34" s="59">
        <f>AVERAGE('5_Costs'!F45:Q45)</f>
        <v>1733.333333</v>
      </c>
      <c r="D34" s="59">
        <f>AVERAGE('5_Costs'!R45:AC45)</f>
        <v>3791.666667</v>
      </c>
      <c r="E34" s="59">
        <f>AVERAGE('5_Costs'!AD45:AO45)</f>
        <v>6150</v>
      </c>
      <c r="F34" s="59">
        <f>AVERAGE('5_Costs'!AP45:BA45)</f>
        <v>8400</v>
      </c>
    </row>
    <row r="35" ht="14.25" customHeight="1">
      <c r="A35" s="7" t="s">
        <v>457</v>
      </c>
      <c r="B35" s="59">
        <f>AVERAGE('5_Costs'!B48:E48)</f>
        <v>0</v>
      </c>
      <c r="C35" s="59">
        <f>AVERAGE('5_Costs'!F48:Q48)</f>
        <v>117.76</v>
      </c>
      <c r="D35" s="59">
        <f>AVERAGE('5_Costs'!R48:AC48)</f>
        <v>2092.271711</v>
      </c>
      <c r="E35" s="59">
        <f>AVERAGE('5_Costs'!AD48:AO48)</f>
        <v>7126.799703</v>
      </c>
      <c r="F35" s="59">
        <f>AVERAGE('5_Costs'!AP48:BA48)</f>
        <v>18279.51807</v>
      </c>
    </row>
    <row r="36" ht="14.25" customHeight="1">
      <c r="A36" s="8" t="s">
        <v>560</v>
      </c>
      <c r="B36" s="150">
        <f t="shared" ref="B36:F36" si="2">SUM(B28:B35)</f>
        <v>2075.333333</v>
      </c>
      <c r="C36" s="150">
        <f t="shared" si="2"/>
        <v>52892.07633</v>
      </c>
      <c r="D36" s="150">
        <f t="shared" si="2"/>
        <v>129338.7925</v>
      </c>
      <c r="E36" s="150">
        <f t="shared" si="2"/>
        <v>207851.7264</v>
      </c>
      <c r="F36" s="150">
        <f t="shared" si="2"/>
        <v>312238.4791</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43"/>
    <col customWidth="1" min="2" max="53" width="10.71"/>
  </cols>
  <sheetData>
    <row r="1" ht="14.25" customHeight="1">
      <c r="A1" s="151" t="s">
        <v>561</v>
      </c>
      <c r="AP1" s="65" t="s">
        <v>562</v>
      </c>
      <c r="AQ1" s="65"/>
      <c r="AR1" s="65" t="s">
        <v>563</v>
      </c>
      <c r="AS1" s="65"/>
      <c r="AT1" s="65"/>
      <c r="AU1" s="65"/>
      <c r="AV1" s="65"/>
      <c r="AW1" s="65"/>
      <c r="AX1" s="65"/>
      <c r="AY1" s="65"/>
      <c r="AZ1" s="65"/>
      <c r="BA1" s="65"/>
    </row>
    <row r="2" ht="14.25" customHeight="1">
      <c r="A2" s="6" t="s">
        <v>147</v>
      </c>
      <c r="B2" s="152" t="s">
        <v>564</v>
      </c>
      <c r="C2" s="152" t="s">
        <v>565</v>
      </c>
      <c r="D2" s="152" t="s">
        <v>566</v>
      </c>
      <c r="E2" s="152" t="s">
        <v>567</v>
      </c>
      <c r="F2" s="152" t="s">
        <v>568</v>
      </c>
      <c r="G2" s="152" t="s">
        <v>569</v>
      </c>
      <c r="H2" s="152" t="s">
        <v>570</v>
      </c>
      <c r="I2" s="152" t="s">
        <v>571</v>
      </c>
      <c r="J2" s="152" t="s">
        <v>572</v>
      </c>
      <c r="K2" s="152" t="s">
        <v>573</v>
      </c>
      <c r="L2" s="152" t="s">
        <v>574</v>
      </c>
      <c r="M2" s="152" t="s">
        <v>575</v>
      </c>
      <c r="N2" s="152" t="s">
        <v>576</v>
      </c>
      <c r="O2" s="152" t="s">
        <v>577</v>
      </c>
      <c r="P2" s="152" t="s">
        <v>578</v>
      </c>
      <c r="Q2" s="152" t="s">
        <v>579</v>
      </c>
      <c r="R2" s="152" t="s">
        <v>580</v>
      </c>
      <c r="S2" s="152" t="s">
        <v>581</v>
      </c>
      <c r="T2" s="152" t="s">
        <v>582</v>
      </c>
      <c r="U2" s="152" t="s">
        <v>583</v>
      </c>
      <c r="V2" s="152" t="s">
        <v>584</v>
      </c>
      <c r="W2" s="152" t="s">
        <v>585</v>
      </c>
      <c r="X2" s="152" t="s">
        <v>586</v>
      </c>
      <c r="Y2" s="152" t="s">
        <v>587</v>
      </c>
      <c r="Z2" s="152" t="s">
        <v>588</v>
      </c>
      <c r="AA2" s="152" t="s">
        <v>589</v>
      </c>
      <c r="AB2" s="152" t="s">
        <v>590</v>
      </c>
      <c r="AC2" s="152" t="s">
        <v>591</v>
      </c>
      <c r="AD2" s="152" t="s">
        <v>592</v>
      </c>
      <c r="AE2" s="152" t="s">
        <v>593</v>
      </c>
      <c r="AF2" s="152" t="s">
        <v>594</v>
      </c>
      <c r="AG2" s="152" t="s">
        <v>595</v>
      </c>
      <c r="AH2" s="152" t="s">
        <v>596</v>
      </c>
      <c r="AI2" s="152" t="s">
        <v>597</v>
      </c>
      <c r="AJ2" s="152" t="s">
        <v>598</v>
      </c>
      <c r="AK2" s="152" t="s">
        <v>599</v>
      </c>
      <c r="AL2" s="152" t="s">
        <v>600</v>
      </c>
      <c r="AM2" s="152" t="s">
        <v>601</v>
      </c>
      <c r="AN2" s="152" t="s">
        <v>602</v>
      </c>
      <c r="AO2" s="152" t="s">
        <v>603</v>
      </c>
      <c r="AP2" s="152" t="s">
        <v>604</v>
      </c>
      <c r="AQ2" s="152" t="s">
        <v>605</v>
      </c>
      <c r="AR2" s="152" t="s">
        <v>606</v>
      </c>
      <c r="AS2" s="152" t="s">
        <v>607</v>
      </c>
      <c r="AT2" s="152" t="s">
        <v>608</v>
      </c>
      <c r="AU2" s="152" t="s">
        <v>609</v>
      </c>
      <c r="AV2" s="152" t="s">
        <v>610</v>
      </c>
      <c r="AW2" s="152" t="s">
        <v>611</v>
      </c>
      <c r="AX2" s="152" t="s">
        <v>612</v>
      </c>
      <c r="AY2" s="152" t="s">
        <v>613</v>
      </c>
      <c r="AZ2" s="152" t="s">
        <v>614</v>
      </c>
      <c r="BA2" s="152" t="s">
        <v>615</v>
      </c>
    </row>
    <row r="3" ht="14.25" customHeight="1">
      <c r="A3" s="7" t="s">
        <v>616</v>
      </c>
      <c r="B3" s="8" t="s">
        <v>519</v>
      </c>
      <c r="C3" s="8" t="s">
        <v>519</v>
      </c>
      <c r="D3" s="8" t="s">
        <v>519</v>
      </c>
      <c r="E3" s="8" t="s">
        <v>519</v>
      </c>
      <c r="F3" s="8" t="s">
        <v>501</v>
      </c>
      <c r="G3" s="8" t="s">
        <v>501</v>
      </c>
      <c r="H3" s="8" t="s">
        <v>501</v>
      </c>
      <c r="I3" s="8" t="s">
        <v>501</v>
      </c>
      <c r="J3" s="8" t="s">
        <v>501</v>
      </c>
      <c r="K3" s="8" t="s">
        <v>501</v>
      </c>
      <c r="L3" s="8" t="s">
        <v>501</v>
      </c>
      <c r="M3" s="8" t="s">
        <v>501</v>
      </c>
      <c r="N3" s="8" t="s">
        <v>501</v>
      </c>
      <c r="O3" s="8" t="s">
        <v>501</v>
      </c>
      <c r="P3" s="8" t="s">
        <v>501</v>
      </c>
      <c r="Q3" s="8" t="s">
        <v>501</v>
      </c>
      <c r="R3" s="8" t="s">
        <v>502</v>
      </c>
      <c r="S3" s="8" t="s">
        <v>502</v>
      </c>
      <c r="T3" s="8" t="s">
        <v>502</v>
      </c>
      <c r="U3" s="8" t="s">
        <v>502</v>
      </c>
      <c r="V3" s="8" t="s">
        <v>502</v>
      </c>
      <c r="W3" s="8" t="s">
        <v>502</v>
      </c>
      <c r="X3" s="8" t="s">
        <v>502</v>
      </c>
      <c r="Y3" s="8" t="s">
        <v>502</v>
      </c>
      <c r="Z3" s="8" t="s">
        <v>502</v>
      </c>
      <c r="AA3" s="8" t="s">
        <v>502</v>
      </c>
      <c r="AB3" s="8" t="s">
        <v>502</v>
      </c>
      <c r="AC3" s="8" t="s">
        <v>502</v>
      </c>
      <c r="AD3" s="8" t="s">
        <v>503</v>
      </c>
      <c r="AE3" s="8" t="s">
        <v>503</v>
      </c>
      <c r="AF3" s="8" t="s">
        <v>503</v>
      </c>
      <c r="AG3" s="8" t="s">
        <v>503</v>
      </c>
      <c r="AH3" s="8" t="s">
        <v>503</v>
      </c>
      <c r="AI3" s="8" t="s">
        <v>503</v>
      </c>
      <c r="AJ3" s="8" t="s">
        <v>503</v>
      </c>
      <c r="AK3" s="8" t="s">
        <v>503</v>
      </c>
      <c r="AL3" s="8" t="s">
        <v>503</v>
      </c>
      <c r="AM3" s="8" t="s">
        <v>503</v>
      </c>
      <c r="AN3" s="8" t="s">
        <v>503</v>
      </c>
      <c r="AO3" s="8" t="s">
        <v>503</v>
      </c>
      <c r="AP3" s="8" t="s">
        <v>504</v>
      </c>
      <c r="AQ3" s="8" t="s">
        <v>504</v>
      </c>
      <c r="AR3" s="8" t="s">
        <v>504</v>
      </c>
      <c r="AS3" s="8" t="s">
        <v>504</v>
      </c>
      <c r="AT3" s="8" t="s">
        <v>504</v>
      </c>
      <c r="AU3" s="8" t="s">
        <v>504</v>
      </c>
      <c r="AV3" s="8" t="s">
        <v>504</v>
      </c>
      <c r="AW3" s="8" t="s">
        <v>504</v>
      </c>
      <c r="AX3" s="8" t="s">
        <v>504</v>
      </c>
      <c r="AY3" s="8" t="s">
        <v>504</v>
      </c>
      <c r="AZ3" s="8" t="s">
        <v>504</v>
      </c>
      <c r="BA3" s="8" t="s">
        <v>504</v>
      </c>
    </row>
    <row r="4" ht="18.0" customHeight="1">
      <c r="A4" s="153" t="s">
        <v>617</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ht="14.25" customHeight="1">
      <c r="A5" s="80" t="s">
        <v>506</v>
      </c>
      <c r="B5" s="154">
        <f>'2_Inputs'!B217</f>
        <v>0</v>
      </c>
      <c r="C5" s="59">
        <f>'2_Inputs'!C217</f>
        <v>0</v>
      </c>
      <c r="D5" s="59">
        <f>'2_Inputs'!D217</f>
        <v>0</v>
      </c>
      <c r="E5" s="59">
        <f>'2_Inputs'!E217</f>
        <v>0</v>
      </c>
      <c r="F5" s="59">
        <f>'2_Inputs'!F217</f>
        <v>0</v>
      </c>
      <c r="G5" s="59">
        <f>'2_Inputs'!G217</f>
        <v>0</v>
      </c>
      <c r="H5" s="7">
        <f>'2_Inputs'!H217</f>
        <v>1</v>
      </c>
      <c r="I5" s="59">
        <f>'2_Inputs'!I217</f>
        <v>0</v>
      </c>
      <c r="J5" s="59">
        <f>'2_Inputs'!J217</f>
        <v>0</v>
      </c>
      <c r="K5" s="59">
        <f>'2_Inputs'!K217</f>
        <v>0</v>
      </c>
      <c r="L5" s="59">
        <f>'2_Inputs'!L217</f>
        <v>1</v>
      </c>
      <c r="M5" s="59">
        <f>'2_Inputs'!M217</f>
        <v>0</v>
      </c>
      <c r="N5" s="59">
        <f>'2_Inputs'!N217</f>
        <v>1</v>
      </c>
      <c r="O5" s="59">
        <f>'2_Inputs'!O217</f>
        <v>0</v>
      </c>
      <c r="P5" s="59">
        <f>'2_Inputs'!P217</f>
        <v>0</v>
      </c>
      <c r="Q5" s="59">
        <f>'2_Inputs'!Q217</f>
        <v>0</v>
      </c>
      <c r="R5" s="59">
        <f>'2_Inputs'!R217</f>
        <v>0</v>
      </c>
      <c r="S5" s="59">
        <f>'2_Inputs'!S217</f>
        <v>0</v>
      </c>
      <c r="T5" s="59">
        <f>'2_Inputs'!T217</f>
        <v>2</v>
      </c>
      <c r="U5" s="59">
        <f>'2_Inputs'!U217</f>
        <v>2</v>
      </c>
      <c r="V5" s="59">
        <f>'2_Inputs'!V217</f>
        <v>0</v>
      </c>
      <c r="W5" s="59">
        <f>'2_Inputs'!W217</f>
        <v>0</v>
      </c>
      <c r="X5" s="59">
        <f>'2_Inputs'!X217</f>
        <v>3</v>
      </c>
      <c r="Y5" s="59">
        <f>'2_Inputs'!Y217</f>
        <v>0</v>
      </c>
      <c r="Z5" s="59">
        <f>'2_Inputs'!Z217</f>
        <v>0</v>
      </c>
      <c r="AA5" s="59">
        <f>'2_Inputs'!AA217</f>
        <v>3</v>
      </c>
      <c r="AB5" s="59">
        <f>'2_Inputs'!AB217</f>
        <v>0</v>
      </c>
      <c r="AC5" s="59">
        <f>'2_Inputs'!AC217</f>
        <v>0</v>
      </c>
      <c r="AD5" s="59">
        <f>'2_Inputs'!AD217</f>
        <v>0</v>
      </c>
      <c r="AE5" s="59">
        <f>'2_Inputs'!AE217</f>
        <v>0</v>
      </c>
      <c r="AF5" s="59">
        <f>'2_Inputs'!AF217</f>
        <v>5</v>
      </c>
      <c r="AG5" s="59">
        <f>'2_Inputs'!AG217</f>
        <v>0</v>
      </c>
      <c r="AH5" s="59">
        <f>'2_Inputs'!AH217</f>
        <v>4</v>
      </c>
      <c r="AI5" s="59">
        <f>'2_Inputs'!AI217</f>
        <v>0</v>
      </c>
      <c r="AJ5" s="59">
        <f>'2_Inputs'!AJ217</f>
        <v>0</v>
      </c>
      <c r="AK5" s="59">
        <f>'2_Inputs'!AK217</f>
        <v>2</v>
      </c>
      <c r="AL5" s="59">
        <f>'2_Inputs'!AL217</f>
        <v>3</v>
      </c>
      <c r="AM5" s="59">
        <f>'2_Inputs'!AM217</f>
        <v>3</v>
      </c>
      <c r="AN5" s="59">
        <f>'2_Inputs'!AN217</f>
        <v>0</v>
      </c>
      <c r="AO5" s="59">
        <f>'2_Inputs'!AO217</f>
        <v>3</v>
      </c>
      <c r="AP5" s="59">
        <f>'2_Inputs'!AP217</f>
        <v>4</v>
      </c>
      <c r="AQ5" s="59">
        <f>'2_Inputs'!AQ217</f>
        <v>5</v>
      </c>
      <c r="AR5" s="59">
        <f>'2_Inputs'!AR217</f>
        <v>6</v>
      </c>
      <c r="AS5" s="59">
        <f>'2_Inputs'!AS217</f>
        <v>5</v>
      </c>
      <c r="AT5" s="59">
        <f>'2_Inputs'!AT217</f>
        <v>4</v>
      </c>
      <c r="AU5" s="59">
        <f>'2_Inputs'!AU217</f>
        <v>5</v>
      </c>
      <c r="AV5" s="59">
        <f>'2_Inputs'!AV217</f>
        <v>4</v>
      </c>
      <c r="AW5" s="59">
        <f>'2_Inputs'!AW217</f>
        <v>3</v>
      </c>
      <c r="AX5" s="59">
        <f>'2_Inputs'!AX217</f>
        <v>6</v>
      </c>
      <c r="AY5" s="59">
        <f>'2_Inputs'!AY217</f>
        <v>8</v>
      </c>
      <c r="AZ5" s="59">
        <f>'2_Inputs'!AZ217</f>
        <v>5</v>
      </c>
      <c r="BA5" s="59">
        <f>'2_Inputs'!BA217</f>
        <v>5</v>
      </c>
    </row>
    <row r="6" ht="14.25" customHeight="1">
      <c r="A6" s="80" t="s">
        <v>618</v>
      </c>
      <c r="B6" s="80">
        <f>B5*'2_Inputs'!$B$33</f>
        <v>0</v>
      </c>
      <c r="C6" s="76">
        <f>C5*'2_Inputs'!$B$33</f>
        <v>0</v>
      </c>
      <c r="D6" s="76">
        <f>D5*'2_Inputs'!$B$33</f>
        <v>0</v>
      </c>
      <c r="E6" s="76">
        <f>E5*'2_Inputs'!$B$33</f>
        <v>0</v>
      </c>
      <c r="F6" s="76">
        <f>F5*'2_Inputs'!$B$33</f>
        <v>0</v>
      </c>
      <c r="G6" s="76">
        <f>G5*'2_Inputs'!$B$33</f>
        <v>0</v>
      </c>
      <c r="H6" s="76">
        <f>H5*'2_Inputs'!$B$33</f>
        <v>6</v>
      </c>
      <c r="I6" s="76">
        <f>I5*'2_Inputs'!$B$33</f>
        <v>0</v>
      </c>
      <c r="J6" s="76">
        <f>J5*'2_Inputs'!$B$33</f>
        <v>0</v>
      </c>
      <c r="K6" s="76">
        <f>K5*'2_Inputs'!$B$33</f>
        <v>0</v>
      </c>
      <c r="L6" s="76">
        <f>L5*'2_Inputs'!$B$33</f>
        <v>6</v>
      </c>
      <c r="M6" s="76">
        <f>M5*'2_Inputs'!$B$33</f>
        <v>0</v>
      </c>
      <c r="N6" s="76">
        <f>N5*'2_Inputs'!$B$33</f>
        <v>6</v>
      </c>
      <c r="O6" s="76">
        <f>O5*'2_Inputs'!$B$33</f>
        <v>0</v>
      </c>
      <c r="P6" s="76">
        <f>P5*'2_Inputs'!$B$33</f>
        <v>0</v>
      </c>
      <c r="Q6" s="76">
        <f>Q5*'2_Inputs'!$B$33</f>
        <v>0</v>
      </c>
      <c r="R6" s="76">
        <f>R5*'2_Inputs'!$B$33</f>
        <v>0</v>
      </c>
      <c r="S6" s="76">
        <f>S5*'2_Inputs'!$B$33</f>
        <v>0</v>
      </c>
      <c r="T6" s="76">
        <f>T5*'2_Inputs'!$B$33</f>
        <v>12</v>
      </c>
      <c r="U6" s="76">
        <f>U5*'2_Inputs'!$B$33</f>
        <v>12</v>
      </c>
      <c r="V6" s="76">
        <f>V5*'2_Inputs'!$B$33</f>
        <v>0</v>
      </c>
      <c r="W6" s="76">
        <f>W5*'2_Inputs'!$B$33</f>
        <v>0</v>
      </c>
      <c r="X6" s="76">
        <f>X5*'2_Inputs'!$B$33</f>
        <v>18</v>
      </c>
      <c r="Y6" s="76">
        <f>Y5*'2_Inputs'!$B$33</f>
        <v>0</v>
      </c>
      <c r="Z6" s="76">
        <f>Z5*'2_Inputs'!$B$33</f>
        <v>0</v>
      </c>
      <c r="AA6" s="76">
        <f>AA5*'2_Inputs'!$B$33</f>
        <v>18</v>
      </c>
      <c r="AB6" s="76">
        <f>AB5*'2_Inputs'!$B$33</f>
        <v>0</v>
      </c>
      <c r="AC6" s="76">
        <f>AC5*'2_Inputs'!$B$33</f>
        <v>0</v>
      </c>
      <c r="AD6" s="76">
        <f>AD5*'2_Inputs'!$B$33</f>
        <v>0</v>
      </c>
      <c r="AE6" s="76">
        <f>AE5*'2_Inputs'!$B$33</f>
        <v>0</v>
      </c>
      <c r="AF6" s="76">
        <f>AF5*'2_Inputs'!$B$33</f>
        <v>30</v>
      </c>
      <c r="AG6" s="76">
        <f>AG5*'2_Inputs'!$B$33</f>
        <v>0</v>
      </c>
      <c r="AH6" s="76">
        <f>AH5*'2_Inputs'!$B$33</f>
        <v>24</v>
      </c>
      <c r="AI6" s="76">
        <f>AI5*'2_Inputs'!$B$33</f>
        <v>0</v>
      </c>
      <c r="AJ6" s="76">
        <f>AJ5*'2_Inputs'!$B$33</f>
        <v>0</v>
      </c>
      <c r="AK6" s="76">
        <f>AK5*'2_Inputs'!$B$33</f>
        <v>12</v>
      </c>
      <c r="AL6" s="76">
        <f>AL5*'2_Inputs'!$B$33</f>
        <v>18</v>
      </c>
      <c r="AM6" s="76">
        <f>AM5*'2_Inputs'!$B$33</f>
        <v>18</v>
      </c>
      <c r="AN6" s="76">
        <f>AN5*'2_Inputs'!$B$33</f>
        <v>0</v>
      </c>
      <c r="AO6" s="76">
        <f>AO5*'2_Inputs'!$B$33</f>
        <v>18</v>
      </c>
      <c r="AP6" s="76">
        <f>AP5*'2_Inputs'!$B$33</f>
        <v>24</v>
      </c>
      <c r="AQ6" s="76">
        <f>AQ5*'2_Inputs'!$B$33</f>
        <v>30</v>
      </c>
      <c r="AR6" s="76">
        <f>AR5*'2_Inputs'!$B$33</f>
        <v>36</v>
      </c>
      <c r="AS6" s="76">
        <f>AS5*'2_Inputs'!$B$33</f>
        <v>30</v>
      </c>
      <c r="AT6" s="76">
        <f>AT5*'2_Inputs'!$B$33</f>
        <v>24</v>
      </c>
      <c r="AU6" s="76">
        <f>AU5*'2_Inputs'!$B$33</f>
        <v>30</v>
      </c>
      <c r="AV6" s="76">
        <f>AV5*'2_Inputs'!$B$33</f>
        <v>24</v>
      </c>
      <c r="AW6" s="76">
        <f>AW5*'2_Inputs'!$B$33</f>
        <v>18</v>
      </c>
      <c r="AX6" s="76">
        <f>AX5*'2_Inputs'!$B$33</f>
        <v>36</v>
      </c>
      <c r="AY6" s="76">
        <f>AY5*'2_Inputs'!$B$33</f>
        <v>48</v>
      </c>
      <c r="AZ6" s="76">
        <f>AZ5*'2_Inputs'!$B$33</f>
        <v>30</v>
      </c>
      <c r="BA6" s="76">
        <f>BA5*'2_Inputs'!$B$33</f>
        <v>30</v>
      </c>
    </row>
    <row r="7" ht="14.25" customHeight="1">
      <c r="A7" s="80" t="s">
        <v>619</v>
      </c>
      <c r="B7" s="80">
        <f>0</f>
        <v>0</v>
      </c>
      <c r="C7" s="76">
        <f>-ROUND(B8*'2_Inputs'!$B$40/12,0)</f>
        <v>0</v>
      </c>
      <c r="D7" s="76">
        <f>-ROUND(C8*'2_Inputs'!$B$40/12,0)</f>
        <v>0</v>
      </c>
      <c r="E7" s="76">
        <f>-ROUND(D8*'2_Inputs'!$B$40/12,0)</f>
        <v>0</v>
      </c>
      <c r="F7" s="76">
        <f>-ROUND(E8*'2_Inputs'!$B$40/12,0)</f>
        <v>0</v>
      </c>
      <c r="G7" s="76">
        <f>-ROUND(F8*'2_Inputs'!$B$40/12,0)</f>
        <v>0</v>
      </c>
      <c r="H7" s="76">
        <f>-ROUND(G8*'2_Inputs'!$B$40/12,0)</f>
        <v>0</v>
      </c>
      <c r="I7" s="76">
        <f>-ROUND(H8*'2_Inputs'!$B$40/12,0)</f>
        <v>0</v>
      </c>
      <c r="J7" s="76">
        <f>-ROUND(I8*'2_Inputs'!$B$40/12,0)</f>
        <v>0</v>
      </c>
      <c r="K7" s="76">
        <f>-ROUND(J8*'2_Inputs'!$B$40/12,0)</f>
        <v>0</v>
      </c>
      <c r="L7" s="76">
        <f>-ROUND(K8*'2_Inputs'!$B$40/12,0)</f>
        <v>0</v>
      </c>
      <c r="M7" s="76">
        <f>-ROUND(L8*'2_Inputs'!$B$40/12,0)</f>
        <v>0</v>
      </c>
      <c r="N7" s="76">
        <f>-ROUND(M8*'2_Inputs'!$B$40/12,0)</f>
        <v>0</v>
      </c>
      <c r="O7" s="76">
        <f>-ROUND(N8*'2_Inputs'!$B$40/12,0)</f>
        <v>0</v>
      </c>
      <c r="P7" s="76">
        <f>-ROUND(O8*'2_Inputs'!$B$40/12,0)</f>
        <v>0</v>
      </c>
      <c r="Q7" s="76">
        <f>-ROUND(P8*'2_Inputs'!$B$40/12,0)</f>
        <v>0</v>
      </c>
      <c r="R7" s="76">
        <f>-ROUND(Q8*'2_Inputs'!$B$40/12,0)</f>
        <v>0</v>
      </c>
      <c r="S7" s="76">
        <f>-ROUND(R8*'2_Inputs'!$B$40/12,0)</f>
        <v>0</v>
      </c>
      <c r="T7" s="76">
        <f>-ROUND(S8*'2_Inputs'!$B$40/12,0)</f>
        <v>0</v>
      </c>
      <c r="U7" s="76">
        <f>-ROUND(T8*'2_Inputs'!$B$40/12,0)</f>
        <v>0</v>
      </c>
      <c r="V7" s="76">
        <f>-ROUND(U8*'2_Inputs'!$B$40/12,0)</f>
        <v>0</v>
      </c>
      <c r="W7" s="76">
        <f>-ROUND(V8*'2_Inputs'!$B$40/12,0)</f>
        <v>0</v>
      </c>
      <c r="X7" s="76">
        <f>-ROUND(W8*'2_Inputs'!$B$40/12,0)</f>
        <v>0</v>
      </c>
      <c r="Y7" s="76">
        <f>-ROUND(X8*'2_Inputs'!$B$40/12,0)</f>
        <v>0</v>
      </c>
      <c r="Z7" s="76">
        <f>-ROUND(Y8*'2_Inputs'!$B$40/12,0)</f>
        <v>0</v>
      </c>
      <c r="AA7" s="76">
        <f>-ROUND(Z8*'2_Inputs'!$B$40/12,0)</f>
        <v>0</v>
      </c>
      <c r="AB7" s="76">
        <f>-ROUND(AA8*'2_Inputs'!$B$40/12,0)</f>
        <v>0</v>
      </c>
      <c r="AC7" s="76">
        <f>-ROUND(AB8*'2_Inputs'!$B$40/12,0)</f>
        <v>0</v>
      </c>
      <c r="AD7" s="76">
        <f>-ROUND(AC8*'2_Inputs'!$B$40/12,0)</f>
        <v>0</v>
      </c>
      <c r="AE7" s="76">
        <f>-ROUND(AD8*'2_Inputs'!$B$40/12,0)</f>
        <v>0</v>
      </c>
      <c r="AF7" s="76">
        <f>-ROUND(AE8*'2_Inputs'!$B$40/12,0)</f>
        <v>0</v>
      </c>
      <c r="AG7" s="76">
        <f>-ROUND(AF8*'2_Inputs'!$B$40/12,0)</f>
        <v>0</v>
      </c>
      <c r="AH7" s="76">
        <f>-ROUND(AG8*'2_Inputs'!$B$40/12,0)</f>
        <v>0</v>
      </c>
      <c r="AI7" s="76">
        <f>-ROUND(AH8*'2_Inputs'!$B$40/12,0)</f>
        <v>-1</v>
      </c>
      <c r="AJ7" s="76">
        <f>-ROUND(AI8*'2_Inputs'!$B$40/12,0)</f>
        <v>-1</v>
      </c>
      <c r="AK7" s="76">
        <f>-ROUND(AJ8*'2_Inputs'!$B$40/12,0)</f>
        <v>-1</v>
      </c>
      <c r="AL7" s="76">
        <f>-ROUND(AK8*'2_Inputs'!$B$40/12,0)</f>
        <v>-1</v>
      </c>
      <c r="AM7" s="76">
        <f>-ROUND(AL8*'2_Inputs'!$B$40/12,0)</f>
        <v>-1</v>
      </c>
      <c r="AN7" s="76">
        <f>-ROUND(AM8*'2_Inputs'!$B$40/12,0)</f>
        <v>-1</v>
      </c>
      <c r="AO7" s="76">
        <f>-ROUND(AN8*'2_Inputs'!$B$40/12,0)</f>
        <v>-1</v>
      </c>
      <c r="AP7" s="76">
        <f>-ROUND(AO8*'2_Inputs'!$B$40/12,0)</f>
        <v>-1</v>
      </c>
      <c r="AQ7" s="76">
        <f>-ROUND(AP8*'2_Inputs'!$B$40/12,0)</f>
        <v>-1</v>
      </c>
      <c r="AR7" s="76">
        <f>-ROUND(AQ8*'2_Inputs'!$B$40/12,0)</f>
        <v>-1</v>
      </c>
      <c r="AS7" s="76">
        <f>-ROUND(AR8*'2_Inputs'!$B$40/12,0)</f>
        <v>-1</v>
      </c>
      <c r="AT7" s="76">
        <f>-ROUND(AS8*'2_Inputs'!$B$40/12,0)</f>
        <v>-1</v>
      </c>
      <c r="AU7" s="76">
        <f>-ROUND(AT8*'2_Inputs'!$B$40/12,0)</f>
        <v>-1</v>
      </c>
      <c r="AV7" s="76">
        <f>-ROUND(AU8*'2_Inputs'!$B$40/12,0)</f>
        <v>-1</v>
      </c>
      <c r="AW7" s="76">
        <f>-ROUND(AV8*'2_Inputs'!$B$40/12,0)</f>
        <v>-2</v>
      </c>
      <c r="AX7" s="76">
        <f>-ROUND(AW8*'2_Inputs'!$B$40/12,0)</f>
        <v>-2</v>
      </c>
      <c r="AY7" s="76">
        <f>-ROUND(AX8*'2_Inputs'!$B$40/12,0)</f>
        <v>-2</v>
      </c>
      <c r="AZ7" s="76">
        <f>-ROUND(AY8*'2_Inputs'!$B$40/12,0)</f>
        <v>-2</v>
      </c>
      <c r="BA7" s="76">
        <f>-ROUND(AZ8*'2_Inputs'!$B$40/12,0)</f>
        <v>-2</v>
      </c>
    </row>
    <row r="8" ht="14.25" customHeight="1">
      <c r="A8" s="80" t="s">
        <v>620</v>
      </c>
      <c r="B8" s="154">
        <f>B6</f>
        <v>0</v>
      </c>
      <c r="C8" s="59">
        <f t="shared" ref="C8:BA8" si="1">B8+C6+C7</f>
        <v>0</v>
      </c>
      <c r="D8" s="59">
        <f t="shared" si="1"/>
        <v>0</v>
      </c>
      <c r="E8" s="59">
        <f t="shared" si="1"/>
        <v>0</v>
      </c>
      <c r="F8" s="59">
        <f t="shared" si="1"/>
        <v>0</v>
      </c>
      <c r="G8" s="59">
        <f t="shared" si="1"/>
        <v>0</v>
      </c>
      <c r="H8" s="59">
        <f t="shared" si="1"/>
        <v>6</v>
      </c>
      <c r="I8" s="59">
        <f t="shared" si="1"/>
        <v>6</v>
      </c>
      <c r="J8" s="59">
        <f t="shared" si="1"/>
        <v>6</v>
      </c>
      <c r="K8" s="59">
        <f t="shared" si="1"/>
        <v>6</v>
      </c>
      <c r="L8" s="59">
        <f t="shared" si="1"/>
        <v>12</v>
      </c>
      <c r="M8" s="59">
        <f t="shared" si="1"/>
        <v>12</v>
      </c>
      <c r="N8" s="59">
        <f t="shared" si="1"/>
        <v>18</v>
      </c>
      <c r="O8" s="59">
        <f t="shared" si="1"/>
        <v>18</v>
      </c>
      <c r="P8" s="59">
        <f t="shared" si="1"/>
        <v>18</v>
      </c>
      <c r="Q8" s="59">
        <f t="shared" si="1"/>
        <v>18</v>
      </c>
      <c r="R8" s="59">
        <f t="shared" si="1"/>
        <v>18</v>
      </c>
      <c r="S8" s="59">
        <f t="shared" si="1"/>
        <v>18</v>
      </c>
      <c r="T8" s="59">
        <f t="shared" si="1"/>
        <v>30</v>
      </c>
      <c r="U8" s="59">
        <f t="shared" si="1"/>
        <v>42</v>
      </c>
      <c r="V8" s="59">
        <f t="shared" si="1"/>
        <v>42</v>
      </c>
      <c r="W8" s="59">
        <f t="shared" si="1"/>
        <v>42</v>
      </c>
      <c r="X8" s="59">
        <f t="shared" si="1"/>
        <v>60</v>
      </c>
      <c r="Y8" s="59">
        <f t="shared" si="1"/>
        <v>60</v>
      </c>
      <c r="Z8" s="59">
        <f t="shared" si="1"/>
        <v>60</v>
      </c>
      <c r="AA8" s="59">
        <f t="shared" si="1"/>
        <v>78</v>
      </c>
      <c r="AB8" s="59">
        <f t="shared" si="1"/>
        <v>78</v>
      </c>
      <c r="AC8" s="59">
        <f t="shared" si="1"/>
        <v>78</v>
      </c>
      <c r="AD8" s="59">
        <f t="shared" si="1"/>
        <v>78</v>
      </c>
      <c r="AE8" s="59">
        <f t="shared" si="1"/>
        <v>78</v>
      </c>
      <c r="AF8" s="59">
        <f t="shared" si="1"/>
        <v>108</v>
      </c>
      <c r="AG8" s="59">
        <f t="shared" si="1"/>
        <v>108</v>
      </c>
      <c r="AH8" s="59">
        <f t="shared" si="1"/>
        <v>132</v>
      </c>
      <c r="AI8" s="59">
        <f t="shared" si="1"/>
        <v>131</v>
      </c>
      <c r="AJ8" s="59">
        <f t="shared" si="1"/>
        <v>130</v>
      </c>
      <c r="AK8" s="59">
        <f t="shared" si="1"/>
        <v>141</v>
      </c>
      <c r="AL8" s="59">
        <f t="shared" si="1"/>
        <v>158</v>
      </c>
      <c r="AM8" s="59">
        <f t="shared" si="1"/>
        <v>175</v>
      </c>
      <c r="AN8" s="59">
        <f t="shared" si="1"/>
        <v>174</v>
      </c>
      <c r="AO8" s="59">
        <f t="shared" si="1"/>
        <v>191</v>
      </c>
      <c r="AP8" s="59">
        <f t="shared" si="1"/>
        <v>214</v>
      </c>
      <c r="AQ8" s="59">
        <f t="shared" si="1"/>
        <v>243</v>
      </c>
      <c r="AR8" s="59">
        <f t="shared" si="1"/>
        <v>278</v>
      </c>
      <c r="AS8" s="59">
        <f t="shared" si="1"/>
        <v>307</v>
      </c>
      <c r="AT8" s="59">
        <f t="shared" si="1"/>
        <v>330</v>
      </c>
      <c r="AU8" s="59">
        <f t="shared" si="1"/>
        <v>359</v>
      </c>
      <c r="AV8" s="59">
        <f t="shared" si="1"/>
        <v>382</v>
      </c>
      <c r="AW8" s="59">
        <f t="shared" si="1"/>
        <v>398</v>
      </c>
      <c r="AX8" s="59">
        <f t="shared" si="1"/>
        <v>432</v>
      </c>
      <c r="AY8" s="59">
        <f t="shared" si="1"/>
        <v>478</v>
      </c>
      <c r="AZ8" s="59">
        <f t="shared" si="1"/>
        <v>506</v>
      </c>
      <c r="BA8" s="59">
        <f t="shared" si="1"/>
        <v>534</v>
      </c>
    </row>
    <row r="9" ht="14.25" customHeight="1">
      <c r="A9" s="80" t="s">
        <v>621</v>
      </c>
      <c r="B9" s="154">
        <f>'2_Inputs'!$B$35*(1+'2_Inputs'!$B$38)^INT((COLUMN()-2)/12)</f>
        <v>460</v>
      </c>
      <c r="C9" s="59">
        <f>'2_Inputs'!$B$35*(1+'2_Inputs'!$B$38)^INT((COLUMN()-2)/12)</f>
        <v>460</v>
      </c>
      <c r="D9" s="59">
        <f>'2_Inputs'!$B$35*(1+'2_Inputs'!$B$38)^INT((COLUMN()-2)/12)</f>
        <v>460</v>
      </c>
      <c r="E9" s="59">
        <f>'2_Inputs'!$B$35*(1+'2_Inputs'!$B$38)^INT((COLUMN()-2)/12)</f>
        <v>460</v>
      </c>
      <c r="F9" s="59">
        <f>'2_Inputs'!$B$35*(1+'2_Inputs'!$B$38)^INT((COLUMN()-2)/12)</f>
        <v>460</v>
      </c>
      <c r="G9" s="59">
        <f>'2_Inputs'!$B$35*(1+'2_Inputs'!$B$38)^INT((COLUMN()-2)/12)</f>
        <v>460</v>
      </c>
      <c r="H9" s="59">
        <f>'2_Inputs'!$B$35*(1+'2_Inputs'!$B$38)^INT((COLUMN()-2)/12)</f>
        <v>460</v>
      </c>
      <c r="I9" s="59">
        <f>'2_Inputs'!$B$35*(1+'2_Inputs'!$B$38)^INT((COLUMN()-2)/12)</f>
        <v>460</v>
      </c>
      <c r="J9" s="59">
        <f>'2_Inputs'!$B$35*(1+'2_Inputs'!$B$38)^INT((COLUMN()-2)/12)</f>
        <v>460</v>
      </c>
      <c r="K9" s="59">
        <f>'2_Inputs'!$B$35*(1+'2_Inputs'!$B$38)^INT((COLUMN()-2)/12)</f>
        <v>460</v>
      </c>
      <c r="L9" s="59">
        <f>'2_Inputs'!$B$35*(1+'2_Inputs'!$B$38)^INT((COLUMN()-2)/12)</f>
        <v>460</v>
      </c>
      <c r="M9" s="59">
        <f>'2_Inputs'!$B$35*(1+'2_Inputs'!$B$38)^INT((COLUMN()-2)/12)</f>
        <v>460</v>
      </c>
      <c r="N9" s="59">
        <f>'2_Inputs'!$B$35*(1+'2_Inputs'!$B$38)^INT((COLUMN()-2)/12)</f>
        <v>478.4</v>
      </c>
      <c r="O9" s="59">
        <f>'2_Inputs'!$B$35*(1+'2_Inputs'!$B$38)^INT((COLUMN()-2)/12)</f>
        <v>478.4</v>
      </c>
      <c r="P9" s="59">
        <f>'2_Inputs'!$B$35*(1+'2_Inputs'!$B$38)^INT((COLUMN()-2)/12)</f>
        <v>478.4</v>
      </c>
      <c r="Q9" s="59">
        <f>'2_Inputs'!$B$35*(1+'2_Inputs'!$B$38)^INT((COLUMN()-2)/12)</f>
        <v>478.4</v>
      </c>
      <c r="R9" s="59">
        <f>'2_Inputs'!$B$35*(1+'2_Inputs'!$B$38)^INT((COLUMN()-2)/12)</f>
        <v>478.4</v>
      </c>
      <c r="S9" s="59">
        <f>'2_Inputs'!$B$35*(1+'2_Inputs'!$B$38)^INT((COLUMN()-2)/12)</f>
        <v>478.4</v>
      </c>
      <c r="T9" s="59">
        <f>'2_Inputs'!$B$35*(1+'2_Inputs'!$B$38)^INT((COLUMN()-2)/12)</f>
        <v>478.4</v>
      </c>
      <c r="U9" s="59">
        <f>'2_Inputs'!$B$35*(1+'2_Inputs'!$B$38)^INT((COLUMN()-2)/12)</f>
        <v>478.4</v>
      </c>
      <c r="V9" s="59">
        <f>'2_Inputs'!$B$35*(1+'2_Inputs'!$B$38)^INT((COLUMN()-2)/12)</f>
        <v>478.4</v>
      </c>
      <c r="W9" s="59">
        <f>'2_Inputs'!$B$35*(1+'2_Inputs'!$B$38)^INT((COLUMN()-2)/12)</f>
        <v>478.4</v>
      </c>
      <c r="X9" s="59">
        <f>'2_Inputs'!$B$35*(1+'2_Inputs'!$B$38)^INT((COLUMN()-2)/12)</f>
        <v>478.4</v>
      </c>
      <c r="Y9" s="59">
        <f>'2_Inputs'!$B$35*(1+'2_Inputs'!$B$38)^INT((COLUMN()-2)/12)</f>
        <v>478.4</v>
      </c>
      <c r="Z9" s="59">
        <f>'2_Inputs'!$B$35*(1+'2_Inputs'!$B$38)^INT((COLUMN()-2)/12)</f>
        <v>497.536</v>
      </c>
      <c r="AA9" s="59">
        <f>'2_Inputs'!$B$35*(1+'2_Inputs'!$B$38)^INT((COLUMN()-2)/12)</f>
        <v>497.536</v>
      </c>
      <c r="AB9" s="59">
        <f>'2_Inputs'!$B$35*(1+'2_Inputs'!$B$38)^INT((COLUMN()-2)/12)</f>
        <v>497.536</v>
      </c>
      <c r="AC9" s="59">
        <f>'2_Inputs'!$B$35*(1+'2_Inputs'!$B$38)^INT((COLUMN()-2)/12)</f>
        <v>497.536</v>
      </c>
      <c r="AD9" s="59">
        <f>'2_Inputs'!$B$35*(1+'2_Inputs'!$B$38)^INT((COLUMN()-2)/12)</f>
        <v>497.536</v>
      </c>
      <c r="AE9" s="59">
        <f>'2_Inputs'!$B$35*(1+'2_Inputs'!$B$38)^INT((COLUMN()-2)/12)</f>
        <v>497.536</v>
      </c>
      <c r="AF9" s="59">
        <f>'2_Inputs'!$B$35*(1+'2_Inputs'!$B$38)^INT((COLUMN()-2)/12)</f>
        <v>497.536</v>
      </c>
      <c r="AG9" s="59">
        <f>'2_Inputs'!$B$35*(1+'2_Inputs'!$B$38)^INT((COLUMN()-2)/12)</f>
        <v>497.536</v>
      </c>
      <c r="AH9" s="59">
        <f>'2_Inputs'!$B$35*(1+'2_Inputs'!$B$38)^INT((COLUMN()-2)/12)</f>
        <v>497.536</v>
      </c>
      <c r="AI9" s="59">
        <f>'2_Inputs'!$B$35*(1+'2_Inputs'!$B$38)^INT((COLUMN()-2)/12)</f>
        <v>497.536</v>
      </c>
      <c r="AJ9" s="59">
        <f>'2_Inputs'!$B$35*(1+'2_Inputs'!$B$38)^INT((COLUMN()-2)/12)</f>
        <v>497.536</v>
      </c>
      <c r="AK9" s="59">
        <f>'2_Inputs'!$B$35*(1+'2_Inputs'!$B$38)^INT((COLUMN()-2)/12)</f>
        <v>497.536</v>
      </c>
      <c r="AL9" s="59">
        <f>'2_Inputs'!$B$35*(1+'2_Inputs'!$B$38)^INT((COLUMN()-2)/12)</f>
        <v>517.43744</v>
      </c>
      <c r="AM9" s="59">
        <f>'2_Inputs'!$B$35*(1+'2_Inputs'!$B$38)^INT((COLUMN()-2)/12)</f>
        <v>517.43744</v>
      </c>
      <c r="AN9" s="59">
        <f>'2_Inputs'!$B$35*(1+'2_Inputs'!$B$38)^INT((COLUMN()-2)/12)</f>
        <v>517.43744</v>
      </c>
      <c r="AO9" s="59">
        <f>'2_Inputs'!$B$35*(1+'2_Inputs'!$B$38)^INT((COLUMN()-2)/12)</f>
        <v>517.43744</v>
      </c>
      <c r="AP9" s="59">
        <f>'2_Inputs'!$B$35*(1+'2_Inputs'!$B$38)^INT((COLUMN()-2)/12)</f>
        <v>517.43744</v>
      </c>
      <c r="AQ9" s="59">
        <f>'2_Inputs'!$B$35*(1+'2_Inputs'!$B$38)^INT((COLUMN()-2)/12)</f>
        <v>517.43744</v>
      </c>
      <c r="AR9" s="59">
        <f>'2_Inputs'!$B$35*(1+'2_Inputs'!$B$38)^INT((COLUMN()-2)/12)</f>
        <v>517.43744</v>
      </c>
      <c r="AS9" s="59">
        <f>'2_Inputs'!$B$35*(1+'2_Inputs'!$B$38)^INT((COLUMN()-2)/12)</f>
        <v>517.43744</v>
      </c>
      <c r="AT9" s="59">
        <f>'2_Inputs'!$B$35*(1+'2_Inputs'!$B$38)^INT((COLUMN()-2)/12)</f>
        <v>517.43744</v>
      </c>
      <c r="AU9" s="59">
        <f>'2_Inputs'!$B$35*(1+'2_Inputs'!$B$38)^INT((COLUMN()-2)/12)</f>
        <v>517.43744</v>
      </c>
      <c r="AV9" s="59">
        <f>'2_Inputs'!$B$35*(1+'2_Inputs'!$B$38)^INT((COLUMN()-2)/12)</f>
        <v>517.43744</v>
      </c>
      <c r="AW9" s="59">
        <f>'2_Inputs'!$B$35*(1+'2_Inputs'!$B$38)^INT((COLUMN()-2)/12)</f>
        <v>517.43744</v>
      </c>
      <c r="AX9" s="59">
        <f>'2_Inputs'!$B$35*(1+'2_Inputs'!$B$38)^INT((COLUMN()-2)/12)</f>
        <v>538.1349376</v>
      </c>
      <c r="AY9" s="59">
        <f>'2_Inputs'!$B$35*(1+'2_Inputs'!$B$38)^INT((COLUMN()-2)/12)</f>
        <v>538.1349376</v>
      </c>
      <c r="AZ9" s="59">
        <f>'2_Inputs'!$B$35*(1+'2_Inputs'!$B$38)^INT((COLUMN()-2)/12)</f>
        <v>538.1349376</v>
      </c>
      <c r="BA9" s="59">
        <f>'2_Inputs'!$B$35*(1+'2_Inputs'!$B$38)^INT((COLUMN()-2)/12)</f>
        <v>538.1349376</v>
      </c>
    </row>
    <row r="10" ht="14.25" customHeight="1">
      <c r="A10" s="120" t="s">
        <v>622</v>
      </c>
      <c r="B10" s="121">
        <f t="shared" ref="B10:BA10" si="2">B8*B9</f>
        <v>0</v>
      </c>
      <c r="C10" s="59">
        <f t="shared" si="2"/>
        <v>0</v>
      </c>
      <c r="D10" s="59">
        <f t="shared" si="2"/>
        <v>0</v>
      </c>
      <c r="E10" s="59">
        <f t="shared" si="2"/>
        <v>0</v>
      </c>
      <c r="F10" s="59">
        <f t="shared" si="2"/>
        <v>0</v>
      </c>
      <c r="G10" s="59">
        <f t="shared" si="2"/>
        <v>0</v>
      </c>
      <c r="H10" s="155">
        <f t="shared" si="2"/>
        <v>2760</v>
      </c>
      <c r="I10" s="59">
        <f t="shared" si="2"/>
        <v>2760</v>
      </c>
      <c r="J10" s="59">
        <f t="shared" si="2"/>
        <v>2760</v>
      </c>
      <c r="K10" s="59">
        <f t="shared" si="2"/>
        <v>2760</v>
      </c>
      <c r="L10" s="59">
        <f t="shared" si="2"/>
        <v>5520</v>
      </c>
      <c r="M10" s="59">
        <f t="shared" si="2"/>
        <v>5520</v>
      </c>
      <c r="N10" s="59">
        <f t="shared" si="2"/>
        <v>8611.2</v>
      </c>
      <c r="O10" s="59">
        <f t="shared" si="2"/>
        <v>8611.2</v>
      </c>
      <c r="P10" s="59">
        <f t="shared" si="2"/>
        <v>8611.2</v>
      </c>
      <c r="Q10" s="59">
        <f t="shared" si="2"/>
        <v>8611.2</v>
      </c>
      <c r="R10" s="59">
        <f t="shared" si="2"/>
        <v>8611.2</v>
      </c>
      <c r="S10" s="59">
        <f t="shared" si="2"/>
        <v>8611.2</v>
      </c>
      <c r="T10" s="59">
        <f t="shared" si="2"/>
        <v>14352</v>
      </c>
      <c r="U10" s="59">
        <f t="shared" si="2"/>
        <v>20092.8</v>
      </c>
      <c r="V10" s="59">
        <f t="shared" si="2"/>
        <v>20092.8</v>
      </c>
      <c r="W10" s="59">
        <f t="shared" si="2"/>
        <v>20092.8</v>
      </c>
      <c r="X10" s="59">
        <f t="shared" si="2"/>
        <v>28704</v>
      </c>
      <c r="Y10" s="59">
        <f t="shared" si="2"/>
        <v>28704</v>
      </c>
      <c r="Z10" s="59">
        <f t="shared" si="2"/>
        <v>29852.16</v>
      </c>
      <c r="AA10" s="59">
        <f t="shared" si="2"/>
        <v>38807.808</v>
      </c>
      <c r="AB10" s="59">
        <f t="shared" si="2"/>
        <v>38807.808</v>
      </c>
      <c r="AC10" s="59">
        <f t="shared" si="2"/>
        <v>38807.808</v>
      </c>
      <c r="AD10" s="59">
        <f t="shared" si="2"/>
        <v>38807.808</v>
      </c>
      <c r="AE10" s="59">
        <f t="shared" si="2"/>
        <v>38807.808</v>
      </c>
      <c r="AF10" s="59">
        <f t="shared" si="2"/>
        <v>53733.888</v>
      </c>
      <c r="AG10" s="59">
        <f t="shared" si="2"/>
        <v>53733.888</v>
      </c>
      <c r="AH10" s="59">
        <f t="shared" si="2"/>
        <v>65674.752</v>
      </c>
      <c r="AI10" s="59">
        <f t="shared" si="2"/>
        <v>65177.216</v>
      </c>
      <c r="AJ10" s="59">
        <f t="shared" si="2"/>
        <v>64679.68</v>
      </c>
      <c r="AK10" s="59">
        <f t="shared" si="2"/>
        <v>70152.576</v>
      </c>
      <c r="AL10" s="59">
        <f t="shared" si="2"/>
        <v>81755.11552</v>
      </c>
      <c r="AM10" s="59">
        <f t="shared" si="2"/>
        <v>90551.552</v>
      </c>
      <c r="AN10" s="59">
        <f t="shared" si="2"/>
        <v>90034.11456</v>
      </c>
      <c r="AO10" s="59">
        <f t="shared" si="2"/>
        <v>98830.55104</v>
      </c>
      <c r="AP10" s="59">
        <f t="shared" si="2"/>
        <v>110731.6122</v>
      </c>
      <c r="AQ10" s="59">
        <f t="shared" si="2"/>
        <v>125737.2979</v>
      </c>
      <c r="AR10" s="59">
        <f t="shared" si="2"/>
        <v>143847.6083</v>
      </c>
      <c r="AS10" s="59">
        <f t="shared" si="2"/>
        <v>158853.2941</v>
      </c>
      <c r="AT10" s="59">
        <f t="shared" si="2"/>
        <v>170754.3552</v>
      </c>
      <c r="AU10" s="59">
        <f t="shared" si="2"/>
        <v>185760.041</v>
      </c>
      <c r="AV10" s="59">
        <f t="shared" si="2"/>
        <v>197661.1021</v>
      </c>
      <c r="AW10" s="59">
        <f t="shared" si="2"/>
        <v>205940.1011</v>
      </c>
      <c r="AX10" s="59">
        <f t="shared" si="2"/>
        <v>232474.293</v>
      </c>
      <c r="AY10" s="59">
        <f t="shared" si="2"/>
        <v>257228.5002</v>
      </c>
      <c r="AZ10" s="59">
        <f t="shared" si="2"/>
        <v>272296.2784</v>
      </c>
      <c r="BA10" s="59">
        <f t="shared" si="2"/>
        <v>287364.0567</v>
      </c>
    </row>
    <row r="11" ht="14.25" customHeight="1">
      <c r="A11" s="153" t="s">
        <v>623</v>
      </c>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row>
    <row r="12" ht="14.25" customHeight="1">
      <c r="A12" s="80" t="s">
        <v>507</v>
      </c>
      <c r="B12" s="154">
        <f>'2_Inputs'!B218</f>
        <v>0</v>
      </c>
      <c r="C12" s="59">
        <f>'2_Inputs'!C218</f>
        <v>0</v>
      </c>
      <c r="D12" s="59">
        <f>'2_Inputs'!D218</f>
        <v>0</v>
      </c>
      <c r="E12" s="59">
        <f>'2_Inputs'!E218</f>
        <v>0</v>
      </c>
      <c r="F12" s="59">
        <f>'2_Inputs'!F218</f>
        <v>0</v>
      </c>
      <c r="G12" s="59">
        <f>'2_Inputs'!G218</f>
        <v>0</v>
      </c>
      <c r="H12" s="59">
        <f>'2_Inputs'!H218</f>
        <v>0</v>
      </c>
      <c r="I12" s="59">
        <f>'2_Inputs'!I218</f>
        <v>0</v>
      </c>
      <c r="J12" s="59">
        <f>'2_Inputs'!J218</f>
        <v>0</v>
      </c>
      <c r="K12" s="59">
        <f>'2_Inputs'!K218</f>
        <v>0</v>
      </c>
      <c r="L12" s="59">
        <f>'2_Inputs'!L218</f>
        <v>0</v>
      </c>
      <c r="M12" s="59">
        <f>'2_Inputs'!M218</f>
        <v>0</v>
      </c>
      <c r="N12" s="59">
        <f>'2_Inputs'!N218</f>
        <v>0</v>
      </c>
      <c r="O12" s="59">
        <f>'2_Inputs'!O218</f>
        <v>0</v>
      </c>
      <c r="P12" s="59">
        <f>'2_Inputs'!P218</f>
        <v>0</v>
      </c>
      <c r="Q12" s="59">
        <f>'2_Inputs'!Q218</f>
        <v>0</v>
      </c>
      <c r="R12" s="59">
        <f>'2_Inputs'!R218</f>
        <v>0</v>
      </c>
      <c r="S12" s="59">
        <f>'2_Inputs'!S218</f>
        <v>2</v>
      </c>
      <c r="T12" s="59">
        <f>'2_Inputs'!T218</f>
        <v>2</v>
      </c>
      <c r="U12" s="59">
        <f>'2_Inputs'!U218</f>
        <v>0</v>
      </c>
      <c r="V12" s="59">
        <f>'2_Inputs'!V218</f>
        <v>2</v>
      </c>
      <c r="W12" s="59">
        <f>'2_Inputs'!W218</f>
        <v>0</v>
      </c>
      <c r="X12" s="59">
        <f>'2_Inputs'!X218</f>
        <v>4</v>
      </c>
      <c r="Y12" s="59">
        <f>'2_Inputs'!Y218</f>
        <v>0</v>
      </c>
      <c r="Z12" s="59">
        <f>'2_Inputs'!Z218</f>
        <v>4</v>
      </c>
      <c r="AA12" s="59">
        <f>'2_Inputs'!AA218</f>
        <v>1</v>
      </c>
      <c r="AB12" s="59">
        <f>'2_Inputs'!AB218</f>
        <v>0</v>
      </c>
      <c r="AC12" s="59">
        <f>'2_Inputs'!AC218</f>
        <v>0</v>
      </c>
      <c r="AD12" s="59">
        <f>'2_Inputs'!AD218</f>
        <v>0</v>
      </c>
      <c r="AE12" s="59">
        <f>'2_Inputs'!AE218</f>
        <v>4</v>
      </c>
      <c r="AF12" s="59">
        <f>'2_Inputs'!AF218</f>
        <v>0</v>
      </c>
      <c r="AG12" s="59">
        <f>'2_Inputs'!AG218</f>
        <v>4</v>
      </c>
      <c r="AH12" s="59">
        <f>'2_Inputs'!AH218</f>
        <v>5</v>
      </c>
      <c r="AI12" s="59">
        <f>'2_Inputs'!AI218</f>
        <v>0</v>
      </c>
      <c r="AJ12" s="59">
        <f>'2_Inputs'!AJ218</f>
        <v>4</v>
      </c>
      <c r="AK12" s="59">
        <f>'2_Inputs'!AK218</f>
        <v>0</v>
      </c>
      <c r="AL12" s="59">
        <f>'2_Inputs'!AL218</f>
        <v>0</v>
      </c>
      <c r="AM12" s="59">
        <f>'2_Inputs'!AM218</f>
        <v>6</v>
      </c>
      <c r="AN12" s="59">
        <f>'2_Inputs'!AN218</f>
        <v>4</v>
      </c>
      <c r="AO12" s="59">
        <f>'2_Inputs'!AO218</f>
        <v>3</v>
      </c>
      <c r="AP12" s="59">
        <f>'2_Inputs'!AP218</f>
        <v>4</v>
      </c>
      <c r="AQ12" s="59">
        <f>'2_Inputs'!AQ218</f>
        <v>5</v>
      </c>
      <c r="AR12" s="59">
        <f>'2_Inputs'!AR218</f>
        <v>3</v>
      </c>
      <c r="AS12" s="59">
        <f>'2_Inputs'!AS218</f>
        <v>3</v>
      </c>
      <c r="AT12" s="59">
        <f>'2_Inputs'!AT218</f>
        <v>5</v>
      </c>
      <c r="AU12" s="59">
        <f>'2_Inputs'!AU218</f>
        <v>4</v>
      </c>
      <c r="AV12" s="59">
        <f>'2_Inputs'!AV218</f>
        <v>5</v>
      </c>
      <c r="AW12" s="59">
        <f>'2_Inputs'!AW218</f>
        <v>3</v>
      </c>
      <c r="AX12" s="59">
        <f>'2_Inputs'!AX218</f>
        <v>5</v>
      </c>
      <c r="AY12" s="59">
        <f>'2_Inputs'!AY218</f>
        <v>4</v>
      </c>
      <c r="AZ12" s="59">
        <f>'2_Inputs'!AZ218</f>
        <v>4</v>
      </c>
      <c r="BA12" s="59">
        <f>'2_Inputs'!BA218</f>
        <v>5</v>
      </c>
    </row>
    <row r="13" ht="14.25" customHeight="1">
      <c r="A13" s="80" t="s">
        <v>624</v>
      </c>
      <c r="B13" s="154">
        <f>B12*'2_Inputs'!$B$34</f>
        <v>0</v>
      </c>
      <c r="C13" s="59">
        <f>C12*'2_Inputs'!$B$34</f>
        <v>0</v>
      </c>
      <c r="D13" s="59">
        <f>D12*'2_Inputs'!$B$34</f>
        <v>0</v>
      </c>
      <c r="E13" s="59">
        <f>E12*'2_Inputs'!$B$34</f>
        <v>0</v>
      </c>
      <c r="F13" s="59">
        <f>F12*'2_Inputs'!$B$34</f>
        <v>0</v>
      </c>
      <c r="G13" s="59">
        <f>G12*'2_Inputs'!$B$34</f>
        <v>0</v>
      </c>
      <c r="H13" s="59">
        <f>H12*'2_Inputs'!$B$34</f>
        <v>0</v>
      </c>
      <c r="I13" s="59">
        <f>I12*'2_Inputs'!$B$34</f>
        <v>0</v>
      </c>
      <c r="J13" s="59">
        <f>J12*'2_Inputs'!$B$34</f>
        <v>0</v>
      </c>
      <c r="K13" s="59">
        <f>K12*'2_Inputs'!$B$34</f>
        <v>0</v>
      </c>
      <c r="L13" s="59">
        <f>L12*'2_Inputs'!$B$34</f>
        <v>0</v>
      </c>
      <c r="M13" s="59">
        <f>M12*'2_Inputs'!$B$34</f>
        <v>0</v>
      </c>
      <c r="N13" s="59">
        <f>N12*'2_Inputs'!$B$34</f>
        <v>0</v>
      </c>
      <c r="O13" s="59">
        <f>O12*'2_Inputs'!$B$34</f>
        <v>0</v>
      </c>
      <c r="P13" s="59">
        <f>P12*'2_Inputs'!$B$34</f>
        <v>0</v>
      </c>
      <c r="Q13" s="59">
        <f>Q12*'2_Inputs'!$B$34</f>
        <v>0</v>
      </c>
      <c r="R13" s="59">
        <f>R12*'2_Inputs'!$B$34</f>
        <v>0</v>
      </c>
      <c r="S13" s="59">
        <f>S12*'2_Inputs'!$B$34</f>
        <v>24</v>
      </c>
      <c r="T13" s="59">
        <f>T12*'2_Inputs'!$B$34</f>
        <v>24</v>
      </c>
      <c r="U13" s="59">
        <f>U12*'2_Inputs'!$B$34</f>
        <v>0</v>
      </c>
      <c r="V13" s="59">
        <f>V12*'2_Inputs'!$B$34</f>
        <v>24</v>
      </c>
      <c r="W13" s="59">
        <f>W12*'2_Inputs'!$B$34</f>
        <v>0</v>
      </c>
      <c r="X13" s="59">
        <f>X12*'2_Inputs'!$B$34</f>
        <v>48</v>
      </c>
      <c r="Y13" s="59">
        <f>Y12*'2_Inputs'!$B$34</f>
        <v>0</v>
      </c>
      <c r="Z13" s="59">
        <f>Z12*'2_Inputs'!$B$34</f>
        <v>48</v>
      </c>
      <c r="AA13" s="59">
        <f>AA12*'2_Inputs'!$B$34</f>
        <v>12</v>
      </c>
      <c r="AB13" s="59">
        <f>AB12*'2_Inputs'!$B$34</f>
        <v>0</v>
      </c>
      <c r="AC13" s="59">
        <f>AC12*'2_Inputs'!$B$34</f>
        <v>0</v>
      </c>
      <c r="AD13" s="59">
        <f>AD12*'2_Inputs'!$B$34</f>
        <v>0</v>
      </c>
      <c r="AE13" s="59">
        <f>AE12*'2_Inputs'!$B$34</f>
        <v>48</v>
      </c>
      <c r="AF13" s="59">
        <f>AF12*'2_Inputs'!$B$34</f>
        <v>0</v>
      </c>
      <c r="AG13" s="59">
        <f>AG12*'2_Inputs'!$B$34</f>
        <v>48</v>
      </c>
      <c r="AH13" s="59">
        <f>AH12*'2_Inputs'!$B$34</f>
        <v>60</v>
      </c>
      <c r="AI13" s="59">
        <f>AI12*'2_Inputs'!$B$34</f>
        <v>0</v>
      </c>
      <c r="AJ13" s="59">
        <f>AJ12*'2_Inputs'!$B$34</f>
        <v>48</v>
      </c>
      <c r="AK13" s="59">
        <f>AK12*'2_Inputs'!$B$34</f>
        <v>0</v>
      </c>
      <c r="AL13" s="59">
        <f>AL12*'2_Inputs'!$B$34</f>
        <v>0</v>
      </c>
      <c r="AM13" s="59">
        <f>AM12*'2_Inputs'!$B$34</f>
        <v>72</v>
      </c>
      <c r="AN13" s="59">
        <f>AN12*'2_Inputs'!$B$34</f>
        <v>48</v>
      </c>
      <c r="AO13" s="59">
        <f>AO12*'2_Inputs'!$B$34</f>
        <v>36</v>
      </c>
      <c r="AP13" s="59">
        <f>AP12*'2_Inputs'!$B$34</f>
        <v>48</v>
      </c>
      <c r="AQ13" s="59">
        <f>AQ12*'2_Inputs'!$B$34</f>
        <v>60</v>
      </c>
      <c r="AR13" s="59">
        <f>AR12*'2_Inputs'!$B$34</f>
        <v>36</v>
      </c>
      <c r="AS13" s="59">
        <f>AS12*'2_Inputs'!$B$34</f>
        <v>36</v>
      </c>
      <c r="AT13" s="59">
        <f>AT12*'2_Inputs'!$B$34</f>
        <v>60</v>
      </c>
      <c r="AU13" s="59">
        <f>AU12*'2_Inputs'!$B$34</f>
        <v>48</v>
      </c>
      <c r="AV13" s="59">
        <f>AV12*'2_Inputs'!$B$34</f>
        <v>60</v>
      </c>
      <c r="AW13" s="59">
        <f>AW12*'2_Inputs'!$B$34</f>
        <v>36</v>
      </c>
      <c r="AX13" s="59">
        <f>AX12*'2_Inputs'!$B$34</f>
        <v>60</v>
      </c>
      <c r="AY13" s="59">
        <f>AY12*'2_Inputs'!$B$34</f>
        <v>48</v>
      </c>
      <c r="AZ13" s="59">
        <f>AZ12*'2_Inputs'!$B$34</f>
        <v>48</v>
      </c>
      <c r="BA13" s="59">
        <f>BA12*'2_Inputs'!$B$34</f>
        <v>60</v>
      </c>
    </row>
    <row r="14" ht="14.25" customHeight="1">
      <c r="A14" s="80" t="s">
        <v>625</v>
      </c>
      <c r="B14" s="80">
        <f>0</f>
        <v>0</v>
      </c>
      <c r="C14" s="7">
        <f>-ROUND(B15*'2_Inputs'!$B$40/12,0)</f>
        <v>0</v>
      </c>
      <c r="D14" s="7">
        <f>-ROUND(C15*'2_Inputs'!$B$40/12,0)</f>
        <v>0</v>
      </c>
      <c r="E14" s="7">
        <f>-ROUND(D15*'2_Inputs'!$B$40/12,0)</f>
        <v>0</v>
      </c>
      <c r="F14" s="7">
        <f>-ROUND(E15*'2_Inputs'!$B$40/12,0)</f>
        <v>0</v>
      </c>
      <c r="G14" s="7">
        <f>-ROUND(F15*'2_Inputs'!$B$40/12,0)</f>
        <v>0</v>
      </c>
      <c r="H14" s="7">
        <f>-ROUND(G15*'2_Inputs'!$B$40/12,0)</f>
        <v>0</v>
      </c>
      <c r="I14" s="7">
        <f>-ROUND(H15*'2_Inputs'!$B$40/12,0)</f>
        <v>0</v>
      </c>
      <c r="J14" s="7">
        <f>-ROUND(I15*'2_Inputs'!$B$40/12,0)</f>
        <v>0</v>
      </c>
      <c r="K14" s="7">
        <f>-ROUND(J15*'2_Inputs'!$B$40/12,0)</f>
        <v>0</v>
      </c>
      <c r="L14" s="7">
        <f>-ROUND(K15*'2_Inputs'!$B$40/12,0)</f>
        <v>0</v>
      </c>
      <c r="M14" s="7">
        <f>-ROUND(L15*'2_Inputs'!$B$40/12,0)</f>
        <v>0</v>
      </c>
      <c r="N14" s="7">
        <f>-ROUND(M15*'2_Inputs'!$B$40/12,0)</f>
        <v>0</v>
      </c>
      <c r="O14" s="7">
        <f>-ROUND(N15*'2_Inputs'!$B$40/12,0)</f>
        <v>0</v>
      </c>
      <c r="P14" s="7">
        <f>-ROUND(O15*'2_Inputs'!$B$40/12,0)</f>
        <v>0</v>
      </c>
      <c r="Q14" s="7">
        <f>-ROUND(P15*'2_Inputs'!$B$40/12,0)</f>
        <v>0</v>
      </c>
      <c r="R14" s="7">
        <f>-ROUND(Q15*'2_Inputs'!$B$40/12,0)</f>
        <v>0</v>
      </c>
      <c r="S14" s="7">
        <f>-ROUND(R15*'2_Inputs'!$B$40/12,0)</f>
        <v>0</v>
      </c>
      <c r="T14" s="7">
        <f>-ROUND(S15*'2_Inputs'!$B$40/12,0)</f>
        <v>0</v>
      </c>
      <c r="U14" s="7">
        <f>-ROUND(T15*'2_Inputs'!$B$40/12,0)</f>
        <v>0</v>
      </c>
      <c r="V14" s="7">
        <f>-ROUND(U15*'2_Inputs'!$B$40/12,0)</f>
        <v>0</v>
      </c>
      <c r="W14" s="7">
        <f>-ROUND(V15*'2_Inputs'!$B$40/12,0)</f>
        <v>0</v>
      </c>
      <c r="X14" s="7">
        <f>-ROUND(W15*'2_Inputs'!$B$40/12,0)</f>
        <v>0</v>
      </c>
      <c r="Y14" s="7">
        <f>-ROUND(X15*'2_Inputs'!$B$40/12,0)</f>
        <v>-1</v>
      </c>
      <c r="Z14" s="7">
        <f>-ROUND(Y15*'2_Inputs'!$B$40/12,0)</f>
        <v>0</v>
      </c>
      <c r="AA14" s="7">
        <f>-ROUND(Z15*'2_Inputs'!$B$40/12,0)</f>
        <v>-1</v>
      </c>
      <c r="AB14" s="7">
        <f>-ROUND(AA15*'2_Inputs'!$B$40/12,0)</f>
        <v>-1</v>
      </c>
      <c r="AC14" s="7">
        <f>-ROUND(AB15*'2_Inputs'!$B$40/12,0)</f>
        <v>-1</v>
      </c>
      <c r="AD14" s="7">
        <f>-ROUND(AC15*'2_Inputs'!$B$40/12,0)</f>
        <v>-1</v>
      </c>
      <c r="AE14" s="7">
        <f>-ROUND(AD15*'2_Inputs'!$B$40/12,0)</f>
        <v>-1</v>
      </c>
      <c r="AF14" s="7">
        <f>-ROUND(AE15*'2_Inputs'!$B$40/12,0)</f>
        <v>-1</v>
      </c>
      <c r="AG14" s="7">
        <f>-ROUND(AF15*'2_Inputs'!$B$40/12,0)</f>
        <v>-1</v>
      </c>
      <c r="AH14" s="7">
        <f>-ROUND(AG15*'2_Inputs'!$B$40/12,0)</f>
        <v>-1</v>
      </c>
      <c r="AI14" s="7">
        <f>-ROUND(AH15*'2_Inputs'!$B$40/12,0)</f>
        <v>-1</v>
      </c>
      <c r="AJ14" s="7">
        <f>-ROUND(AI15*'2_Inputs'!$B$40/12,0)</f>
        <v>-1</v>
      </c>
      <c r="AK14" s="7">
        <f>-ROUND(AJ15*'2_Inputs'!$B$40/12,0)</f>
        <v>-2</v>
      </c>
      <c r="AL14" s="7">
        <f>-ROUND(AK15*'2_Inputs'!$B$40/12,0)</f>
        <v>-2</v>
      </c>
      <c r="AM14" s="7">
        <f>-ROUND(AL15*'2_Inputs'!$B$40/12,0)</f>
        <v>-2</v>
      </c>
      <c r="AN14" s="7">
        <f>-ROUND(AM15*'2_Inputs'!$B$40/12,0)</f>
        <v>-2</v>
      </c>
      <c r="AO14" s="7">
        <f>-ROUND(AN15*'2_Inputs'!$B$40/12,0)</f>
        <v>-2</v>
      </c>
      <c r="AP14" s="7">
        <f>-ROUND(AO15*'2_Inputs'!$B$40/12,0)</f>
        <v>-2</v>
      </c>
      <c r="AQ14" s="7">
        <f>-ROUND(AP15*'2_Inputs'!$B$40/12,0)</f>
        <v>-2</v>
      </c>
      <c r="AR14" s="7">
        <f>-ROUND(AQ15*'2_Inputs'!$B$40/12,0)</f>
        <v>-3</v>
      </c>
      <c r="AS14" s="7">
        <f>-ROUND(AR15*'2_Inputs'!$B$40/12,0)</f>
        <v>-3</v>
      </c>
      <c r="AT14" s="7">
        <f>-ROUND(AS15*'2_Inputs'!$B$40/12,0)</f>
        <v>-3</v>
      </c>
      <c r="AU14" s="7">
        <f>-ROUND(AT15*'2_Inputs'!$B$40/12,0)</f>
        <v>-3</v>
      </c>
      <c r="AV14" s="7">
        <f>-ROUND(AU15*'2_Inputs'!$B$40/12,0)</f>
        <v>-3</v>
      </c>
      <c r="AW14" s="7">
        <f>-ROUND(AV15*'2_Inputs'!$B$40/12,0)</f>
        <v>-4</v>
      </c>
      <c r="AX14" s="7">
        <f>-ROUND(AW15*'2_Inputs'!$B$40/12,0)</f>
        <v>-4</v>
      </c>
      <c r="AY14" s="7">
        <f>-ROUND(AX15*'2_Inputs'!$B$40/12,0)</f>
        <v>-4</v>
      </c>
      <c r="AZ14" s="7">
        <f>-ROUND(AY15*'2_Inputs'!$B$40/12,0)</f>
        <v>-4</v>
      </c>
      <c r="BA14" s="7">
        <f>-ROUND(AZ15*'2_Inputs'!$B$40/12,0)</f>
        <v>-4</v>
      </c>
    </row>
    <row r="15" ht="14.25" customHeight="1">
      <c r="A15" s="80" t="s">
        <v>626</v>
      </c>
      <c r="B15" s="154">
        <f>B13</f>
        <v>0</v>
      </c>
      <c r="C15" s="97">
        <f t="shared" ref="C15:BA15" si="3">B15+C13+C14</f>
        <v>0</v>
      </c>
      <c r="D15" s="97">
        <f t="shared" si="3"/>
        <v>0</v>
      </c>
      <c r="E15" s="97">
        <f t="shared" si="3"/>
        <v>0</v>
      </c>
      <c r="F15" s="97">
        <f t="shared" si="3"/>
        <v>0</v>
      </c>
      <c r="G15" s="97">
        <f t="shared" si="3"/>
        <v>0</v>
      </c>
      <c r="H15" s="97">
        <f t="shared" si="3"/>
        <v>0</v>
      </c>
      <c r="I15" s="97">
        <f t="shared" si="3"/>
        <v>0</v>
      </c>
      <c r="J15" s="97">
        <f t="shared" si="3"/>
        <v>0</v>
      </c>
      <c r="K15" s="97">
        <f t="shared" si="3"/>
        <v>0</v>
      </c>
      <c r="L15" s="97">
        <f t="shared" si="3"/>
        <v>0</v>
      </c>
      <c r="M15" s="97">
        <f t="shared" si="3"/>
        <v>0</v>
      </c>
      <c r="N15" s="97">
        <f t="shared" si="3"/>
        <v>0</v>
      </c>
      <c r="O15" s="97">
        <f t="shared" si="3"/>
        <v>0</v>
      </c>
      <c r="P15" s="97">
        <f t="shared" si="3"/>
        <v>0</v>
      </c>
      <c r="Q15" s="97">
        <f t="shared" si="3"/>
        <v>0</v>
      </c>
      <c r="R15" s="97">
        <f t="shared" si="3"/>
        <v>0</v>
      </c>
      <c r="S15" s="97">
        <f t="shared" si="3"/>
        <v>24</v>
      </c>
      <c r="T15" s="97">
        <f t="shared" si="3"/>
        <v>48</v>
      </c>
      <c r="U15" s="97">
        <f t="shared" si="3"/>
        <v>48</v>
      </c>
      <c r="V15" s="97">
        <f t="shared" si="3"/>
        <v>72</v>
      </c>
      <c r="W15" s="97">
        <f t="shared" si="3"/>
        <v>72</v>
      </c>
      <c r="X15" s="97">
        <f t="shared" si="3"/>
        <v>120</v>
      </c>
      <c r="Y15" s="97">
        <f t="shared" si="3"/>
        <v>119</v>
      </c>
      <c r="Z15" s="97">
        <f t="shared" si="3"/>
        <v>167</v>
      </c>
      <c r="AA15" s="97">
        <f t="shared" si="3"/>
        <v>178</v>
      </c>
      <c r="AB15" s="97">
        <f t="shared" si="3"/>
        <v>177</v>
      </c>
      <c r="AC15" s="97">
        <f t="shared" si="3"/>
        <v>176</v>
      </c>
      <c r="AD15" s="97">
        <f t="shared" si="3"/>
        <v>175</v>
      </c>
      <c r="AE15" s="97">
        <f t="shared" si="3"/>
        <v>222</v>
      </c>
      <c r="AF15" s="97">
        <f t="shared" si="3"/>
        <v>221</v>
      </c>
      <c r="AG15" s="97">
        <f t="shared" si="3"/>
        <v>268</v>
      </c>
      <c r="AH15" s="97">
        <f t="shared" si="3"/>
        <v>327</v>
      </c>
      <c r="AI15" s="97">
        <f t="shared" si="3"/>
        <v>326</v>
      </c>
      <c r="AJ15" s="97">
        <f t="shared" si="3"/>
        <v>373</v>
      </c>
      <c r="AK15" s="97">
        <f t="shared" si="3"/>
        <v>371</v>
      </c>
      <c r="AL15" s="97">
        <f t="shared" si="3"/>
        <v>369</v>
      </c>
      <c r="AM15" s="97">
        <f t="shared" si="3"/>
        <v>439</v>
      </c>
      <c r="AN15" s="97">
        <f t="shared" si="3"/>
        <v>485</v>
      </c>
      <c r="AO15" s="97">
        <f t="shared" si="3"/>
        <v>519</v>
      </c>
      <c r="AP15" s="97">
        <f t="shared" si="3"/>
        <v>565</v>
      </c>
      <c r="AQ15" s="97">
        <f t="shared" si="3"/>
        <v>623</v>
      </c>
      <c r="AR15" s="97">
        <f t="shared" si="3"/>
        <v>656</v>
      </c>
      <c r="AS15" s="97">
        <f t="shared" si="3"/>
        <v>689</v>
      </c>
      <c r="AT15" s="97">
        <f t="shared" si="3"/>
        <v>746</v>
      </c>
      <c r="AU15" s="97">
        <f t="shared" si="3"/>
        <v>791</v>
      </c>
      <c r="AV15" s="97">
        <f t="shared" si="3"/>
        <v>848</v>
      </c>
      <c r="AW15" s="97">
        <f t="shared" si="3"/>
        <v>880</v>
      </c>
      <c r="AX15" s="97">
        <f t="shared" si="3"/>
        <v>936</v>
      </c>
      <c r="AY15" s="97">
        <f t="shared" si="3"/>
        <v>980</v>
      </c>
      <c r="AZ15" s="97">
        <f t="shared" si="3"/>
        <v>1024</v>
      </c>
      <c r="BA15" s="97">
        <f t="shared" si="3"/>
        <v>1080</v>
      </c>
    </row>
    <row r="16" ht="14.25" customHeight="1">
      <c r="A16" s="80" t="s">
        <v>627</v>
      </c>
      <c r="B16" s="154">
        <f>'2_Inputs'!$B$36*(1+'2_Inputs'!$B$38)^INT((COLUMN()-2)/12)</f>
        <v>530</v>
      </c>
      <c r="C16" s="7">
        <f>'2_Inputs'!$B$36*(1+'2_Inputs'!$B$38)^INT((COLUMN()-2)/12)</f>
        <v>530</v>
      </c>
      <c r="D16" s="7">
        <f>'2_Inputs'!$B$36*(1+'2_Inputs'!$B$38)^INT((COLUMN()-2)/12)</f>
        <v>530</v>
      </c>
      <c r="E16" s="7">
        <f>'2_Inputs'!$B$36*(1+'2_Inputs'!$B$38)^INT((COLUMN()-2)/12)</f>
        <v>530</v>
      </c>
      <c r="F16" s="7">
        <f>'2_Inputs'!$B$36*(1+'2_Inputs'!$B$38)^INT((COLUMN()-2)/12)</f>
        <v>530</v>
      </c>
      <c r="G16" s="7">
        <f>'2_Inputs'!$B$36*(1+'2_Inputs'!$B$38)^INT((COLUMN()-2)/12)</f>
        <v>530</v>
      </c>
      <c r="H16" s="7">
        <f>'2_Inputs'!$B$36*(1+'2_Inputs'!$B$38)^INT((COLUMN()-2)/12)</f>
        <v>530</v>
      </c>
      <c r="I16" s="7">
        <f>'2_Inputs'!$B$36*(1+'2_Inputs'!$B$38)^INT((COLUMN()-2)/12)</f>
        <v>530</v>
      </c>
      <c r="J16" s="7">
        <f>'2_Inputs'!$B$36*(1+'2_Inputs'!$B$38)^INT((COLUMN()-2)/12)</f>
        <v>530</v>
      </c>
      <c r="K16" s="7">
        <f>'2_Inputs'!$B$36*(1+'2_Inputs'!$B$38)^INT((COLUMN()-2)/12)</f>
        <v>530</v>
      </c>
      <c r="L16" s="7">
        <f>'2_Inputs'!$B$36*(1+'2_Inputs'!$B$38)^INT((COLUMN()-2)/12)</f>
        <v>530</v>
      </c>
      <c r="M16" s="7">
        <f>'2_Inputs'!$B$36*(1+'2_Inputs'!$B$38)^INT((COLUMN()-2)/12)</f>
        <v>530</v>
      </c>
      <c r="N16" s="7">
        <f>'2_Inputs'!$B$36*(1+'2_Inputs'!$B$38)^INT((COLUMN()-2)/12)</f>
        <v>551.2</v>
      </c>
      <c r="O16" s="7">
        <f>'2_Inputs'!$B$36*(1+'2_Inputs'!$B$38)^INT((COLUMN()-2)/12)</f>
        <v>551.2</v>
      </c>
      <c r="P16" s="7">
        <f>'2_Inputs'!$B$36*(1+'2_Inputs'!$B$38)^INT((COLUMN()-2)/12)</f>
        <v>551.2</v>
      </c>
      <c r="Q16" s="7">
        <f>'2_Inputs'!$B$36*(1+'2_Inputs'!$B$38)^INT((COLUMN()-2)/12)</f>
        <v>551.2</v>
      </c>
      <c r="R16" s="7">
        <f>'2_Inputs'!$B$36*(1+'2_Inputs'!$B$38)^INT((COLUMN()-2)/12)</f>
        <v>551.2</v>
      </c>
      <c r="S16" s="7">
        <f>'2_Inputs'!$B$36*(1+'2_Inputs'!$B$38)^INT((COLUMN()-2)/12)</f>
        <v>551.2</v>
      </c>
      <c r="T16" s="7">
        <f>'2_Inputs'!$B$36*(1+'2_Inputs'!$B$38)^INT((COLUMN()-2)/12)</f>
        <v>551.2</v>
      </c>
      <c r="U16" s="7">
        <f>'2_Inputs'!$B$36*(1+'2_Inputs'!$B$38)^INT((COLUMN()-2)/12)</f>
        <v>551.2</v>
      </c>
      <c r="V16" s="7">
        <f>'2_Inputs'!$B$36*(1+'2_Inputs'!$B$38)^INT((COLUMN()-2)/12)</f>
        <v>551.2</v>
      </c>
      <c r="W16" s="7">
        <f>'2_Inputs'!$B$36*(1+'2_Inputs'!$B$38)^INT((COLUMN()-2)/12)</f>
        <v>551.2</v>
      </c>
      <c r="X16" s="7">
        <f>'2_Inputs'!$B$36*(1+'2_Inputs'!$B$38)^INT((COLUMN()-2)/12)</f>
        <v>551.2</v>
      </c>
      <c r="Y16" s="7">
        <f>'2_Inputs'!$B$36*(1+'2_Inputs'!$B$38)^INT((COLUMN()-2)/12)</f>
        <v>551.2</v>
      </c>
      <c r="Z16" s="156">
        <f>'2_Inputs'!$B$36*(1+'2_Inputs'!$B$38)^INT((COLUMN()-2)/12)</f>
        <v>573.248</v>
      </c>
      <c r="AA16" s="156">
        <f>'2_Inputs'!$B$36*(1+'2_Inputs'!$B$38)^INT((COLUMN()-2)/12)</f>
        <v>573.248</v>
      </c>
      <c r="AB16" s="156">
        <f>'2_Inputs'!$B$36*(1+'2_Inputs'!$B$38)^INT((COLUMN()-2)/12)</f>
        <v>573.248</v>
      </c>
      <c r="AC16" s="156">
        <f>'2_Inputs'!$B$36*(1+'2_Inputs'!$B$38)^INT((COLUMN()-2)/12)</f>
        <v>573.248</v>
      </c>
      <c r="AD16" s="156">
        <f>'2_Inputs'!$B$36*(1+'2_Inputs'!$B$38)^INT((COLUMN()-2)/12)</f>
        <v>573.248</v>
      </c>
      <c r="AE16" s="156">
        <f>'2_Inputs'!$B$36*(1+'2_Inputs'!$B$38)^INT((COLUMN()-2)/12)</f>
        <v>573.248</v>
      </c>
      <c r="AF16" s="156">
        <f>'2_Inputs'!$B$36*(1+'2_Inputs'!$B$38)^INT((COLUMN()-2)/12)</f>
        <v>573.248</v>
      </c>
      <c r="AG16" s="156">
        <f>'2_Inputs'!$B$36*(1+'2_Inputs'!$B$38)^INT((COLUMN()-2)/12)</f>
        <v>573.248</v>
      </c>
      <c r="AH16" s="156">
        <f>'2_Inputs'!$B$36*(1+'2_Inputs'!$B$38)^INT((COLUMN()-2)/12)</f>
        <v>573.248</v>
      </c>
      <c r="AI16" s="156">
        <f>'2_Inputs'!$B$36*(1+'2_Inputs'!$B$38)^INT((COLUMN()-2)/12)</f>
        <v>573.248</v>
      </c>
      <c r="AJ16" s="156">
        <f>'2_Inputs'!$B$36*(1+'2_Inputs'!$B$38)^INT((COLUMN()-2)/12)</f>
        <v>573.248</v>
      </c>
      <c r="AK16" s="156">
        <f>'2_Inputs'!$B$36*(1+'2_Inputs'!$B$38)^INT((COLUMN()-2)/12)</f>
        <v>573.248</v>
      </c>
      <c r="AL16" s="156">
        <f>'2_Inputs'!$B$36*(1+'2_Inputs'!$B$38)^INT((COLUMN()-2)/12)</f>
        <v>596.17792</v>
      </c>
      <c r="AM16" s="156">
        <f>'2_Inputs'!$B$36*(1+'2_Inputs'!$B$38)^INT((COLUMN()-2)/12)</f>
        <v>596.17792</v>
      </c>
      <c r="AN16" s="156">
        <f>'2_Inputs'!$B$36*(1+'2_Inputs'!$B$38)^INT((COLUMN()-2)/12)</f>
        <v>596.17792</v>
      </c>
      <c r="AO16" s="156">
        <f>'2_Inputs'!$B$36*(1+'2_Inputs'!$B$38)^INT((COLUMN()-2)/12)</f>
        <v>596.17792</v>
      </c>
      <c r="AP16" s="156">
        <f>'2_Inputs'!$B$36*(1+'2_Inputs'!$B$38)^INT((COLUMN()-2)/12)</f>
        <v>596.17792</v>
      </c>
      <c r="AQ16" s="156">
        <f>'2_Inputs'!$B$36*(1+'2_Inputs'!$B$38)^INT((COLUMN()-2)/12)</f>
        <v>596.17792</v>
      </c>
      <c r="AR16" s="156">
        <f>'2_Inputs'!$B$36*(1+'2_Inputs'!$B$38)^INT((COLUMN()-2)/12)</f>
        <v>596.17792</v>
      </c>
      <c r="AS16" s="156">
        <f>'2_Inputs'!$B$36*(1+'2_Inputs'!$B$38)^INT((COLUMN()-2)/12)</f>
        <v>596.17792</v>
      </c>
      <c r="AT16" s="156">
        <f>'2_Inputs'!$B$36*(1+'2_Inputs'!$B$38)^INT((COLUMN()-2)/12)</f>
        <v>596.17792</v>
      </c>
      <c r="AU16" s="156">
        <f>'2_Inputs'!$B$36*(1+'2_Inputs'!$B$38)^INT((COLUMN()-2)/12)</f>
        <v>596.17792</v>
      </c>
      <c r="AV16" s="156">
        <f>'2_Inputs'!$B$36*(1+'2_Inputs'!$B$38)^INT((COLUMN()-2)/12)</f>
        <v>596.17792</v>
      </c>
      <c r="AW16" s="156">
        <f>'2_Inputs'!$B$36*(1+'2_Inputs'!$B$38)^INT((COLUMN()-2)/12)</f>
        <v>596.17792</v>
      </c>
      <c r="AX16" s="156">
        <f>'2_Inputs'!$B$36*(1+'2_Inputs'!$B$38)^INT((COLUMN()-2)/12)</f>
        <v>620.0250368</v>
      </c>
      <c r="AY16" s="156">
        <f>'2_Inputs'!$B$36*(1+'2_Inputs'!$B$38)^INT((COLUMN()-2)/12)</f>
        <v>620.0250368</v>
      </c>
      <c r="AZ16" s="156">
        <f>'2_Inputs'!$B$36*(1+'2_Inputs'!$B$38)^INT((COLUMN()-2)/12)</f>
        <v>620.0250368</v>
      </c>
      <c r="BA16" s="156">
        <f>'2_Inputs'!$B$36*(1+'2_Inputs'!$B$38)^INT((COLUMN()-2)/12)</f>
        <v>620.0250368</v>
      </c>
    </row>
    <row r="17" ht="14.25" customHeight="1">
      <c r="A17" s="120" t="s">
        <v>628</v>
      </c>
      <c r="B17" s="121">
        <f t="shared" ref="B17:BA17" si="4">B15*B16</f>
        <v>0</v>
      </c>
      <c r="C17" s="7">
        <f t="shared" si="4"/>
        <v>0</v>
      </c>
      <c r="D17" s="7">
        <f t="shared" si="4"/>
        <v>0</v>
      </c>
      <c r="E17" s="7">
        <f t="shared" si="4"/>
        <v>0</v>
      </c>
      <c r="F17" s="7">
        <f t="shared" si="4"/>
        <v>0</v>
      </c>
      <c r="G17" s="7">
        <f t="shared" si="4"/>
        <v>0</v>
      </c>
      <c r="H17" s="7">
        <f t="shared" si="4"/>
        <v>0</v>
      </c>
      <c r="I17" s="7">
        <f t="shared" si="4"/>
        <v>0</v>
      </c>
      <c r="J17" s="7">
        <f t="shared" si="4"/>
        <v>0</v>
      </c>
      <c r="K17" s="7">
        <f t="shared" si="4"/>
        <v>0</v>
      </c>
      <c r="L17" s="7">
        <f t="shared" si="4"/>
        <v>0</v>
      </c>
      <c r="M17" s="7">
        <f t="shared" si="4"/>
        <v>0</v>
      </c>
      <c r="N17" s="7">
        <f t="shared" si="4"/>
        <v>0</v>
      </c>
      <c r="O17" s="7">
        <f t="shared" si="4"/>
        <v>0</v>
      </c>
      <c r="P17" s="7">
        <f t="shared" si="4"/>
        <v>0</v>
      </c>
      <c r="Q17" s="7">
        <f t="shared" si="4"/>
        <v>0</v>
      </c>
      <c r="R17" s="7">
        <f t="shared" si="4"/>
        <v>0</v>
      </c>
      <c r="S17" s="7">
        <f t="shared" si="4"/>
        <v>13228.8</v>
      </c>
      <c r="T17" s="7">
        <f t="shared" si="4"/>
        <v>26457.6</v>
      </c>
      <c r="U17" s="7">
        <f t="shared" si="4"/>
        <v>26457.6</v>
      </c>
      <c r="V17" s="7">
        <f t="shared" si="4"/>
        <v>39686.4</v>
      </c>
      <c r="W17" s="7">
        <f t="shared" si="4"/>
        <v>39686.4</v>
      </c>
      <c r="X17" s="7">
        <f t="shared" si="4"/>
        <v>66144</v>
      </c>
      <c r="Y17" s="7">
        <f t="shared" si="4"/>
        <v>65592.8</v>
      </c>
      <c r="Z17" s="156">
        <f t="shared" si="4"/>
        <v>95732.416</v>
      </c>
      <c r="AA17" s="156">
        <f t="shared" si="4"/>
        <v>102038.144</v>
      </c>
      <c r="AB17" s="156">
        <f t="shared" si="4"/>
        <v>101464.896</v>
      </c>
      <c r="AC17" s="156">
        <f t="shared" si="4"/>
        <v>100891.648</v>
      </c>
      <c r="AD17" s="156">
        <f t="shared" si="4"/>
        <v>100318.4</v>
      </c>
      <c r="AE17" s="156">
        <f t="shared" si="4"/>
        <v>127261.056</v>
      </c>
      <c r="AF17" s="156">
        <f t="shared" si="4"/>
        <v>126687.808</v>
      </c>
      <c r="AG17" s="156">
        <f t="shared" si="4"/>
        <v>153630.464</v>
      </c>
      <c r="AH17" s="156">
        <f t="shared" si="4"/>
        <v>187452.096</v>
      </c>
      <c r="AI17" s="156">
        <f t="shared" si="4"/>
        <v>186878.848</v>
      </c>
      <c r="AJ17" s="156">
        <f t="shared" si="4"/>
        <v>213821.504</v>
      </c>
      <c r="AK17" s="156">
        <f t="shared" si="4"/>
        <v>212675.008</v>
      </c>
      <c r="AL17" s="156">
        <f t="shared" si="4"/>
        <v>219989.6525</v>
      </c>
      <c r="AM17" s="156">
        <f t="shared" si="4"/>
        <v>261722.1069</v>
      </c>
      <c r="AN17" s="156">
        <f t="shared" si="4"/>
        <v>289146.2912</v>
      </c>
      <c r="AO17" s="156">
        <f t="shared" si="4"/>
        <v>309416.3405</v>
      </c>
      <c r="AP17" s="156">
        <f t="shared" si="4"/>
        <v>336840.5248</v>
      </c>
      <c r="AQ17" s="156">
        <f t="shared" si="4"/>
        <v>371418.8442</v>
      </c>
      <c r="AR17" s="156">
        <f t="shared" si="4"/>
        <v>391092.7155</v>
      </c>
      <c r="AS17" s="156">
        <f t="shared" si="4"/>
        <v>410766.5869</v>
      </c>
      <c r="AT17" s="156">
        <f t="shared" si="4"/>
        <v>444748.7283</v>
      </c>
      <c r="AU17" s="156">
        <f t="shared" si="4"/>
        <v>471576.7347</v>
      </c>
      <c r="AV17" s="156">
        <f t="shared" si="4"/>
        <v>505558.8762</v>
      </c>
      <c r="AW17" s="156">
        <f t="shared" si="4"/>
        <v>524636.5696</v>
      </c>
      <c r="AX17" s="156">
        <f t="shared" si="4"/>
        <v>580343.4344</v>
      </c>
      <c r="AY17" s="156">
        <f t="shared" si="4"/>
        <v>607624.5361</v>
      </c>
      <c r="AZ17" s="156">
        <f t="shared" si="4"/>
        <v>634905.6377</v>
      </c>
      <c r="BA17" s="156">
        <f t="shared" si="4"/>
        <v>669627.0397</v>
      </c>
    </row>
    <row r="18" ht="14.25" customHeight="1">
      <c r="A18" s="153" t="s">
        <v>629</v>
      </c>
    </row>
    <row r="19" ht="14.25" customHeight="1">
      <c r="A19" s="80" t="s">
        <v>508</v>
      </c>
      <c r="B19" s="154">
        <f>'2_Inputs'!B219</f>
        <v>0</v>
      </c>
      <c r="C19" s="59">
        <f>'2_Inputs'!C219</f>
        <v>0</v>
      </c>
      <c r="D19" s="59">
        <f>'2_Inputs'!D219</f>
        <v>0</v>
      </c>
      <c r="E19" s="59">
        <f>'2_Inputs'!E219</f>
        <v>0</v>
      </c>
      <c r="F19" s="59">
        <f>'2_Inputs'!F219</f>
        <v>0</v>
      </c>
      <c r="G19" s="59">
        <f>'2_Inputs'!G219</f>
        <v>0</v>
      </c>
      <c r="H19" s="59">
        <f>'2_Inputs'!H219</f>
        <v>0</v>
      </c>
      <c r="I19" s="59">
        <f>'2_Inputs'!I219</f>
        <v>0</v>
      </c>
      <c r="J19" s="59">
        <f>'2_Inputs'!J219</f>
        <v>0</v>
      </c>
      <c r="K19" s="59">
        <f>'2_Inputs'!K219</f>
        <v>0</v>
      </c>
      <c r="L19" s="59">
        <f>'2_Inputs'!L219</f>
        <v>0</v>
      </c>
      <c r="M19" s="59">
        <f>'2_Inputs'!M219</f>
        <v>0</v>
      </c>
      <c r="N19" s="59">
        <f>'2_Inputs'!N219</f>
        <v>0</v>
      </c>
      <c r="O19" s="59">
        <f>'2_Inputs'!O219</f>
        <v>0</v>
      </c>
      <c r="P19" s="59">
        <f>'2_Inputs'!P219</f>
        <v>0</v>
      </c>
      <c r="Q19" s="59">
        <f>'2_Inputs'!Q219</f>
        <v>0</v>
      </c>
      <c r="R19" s="59">
        <f>'2_Inputs'!R219</f>
        <v>0</v>
      </c>
      <c r="S19" s="59">
        <f>'2_Inputs'!S219</f>
        <v>0</v>
      </c>
      <c r="T19" s="59">
        <f>'2_Inputs'!T219</f>
        <v>0</v>
      </c>
      <c r="U19" s="59">
        <f>'2_Inputs'!U219</f>
        <v>0</v>
      </c>
      <c r="V19" s="59">
        <f>'2_Inputs'!V219</f>
        <v>0</v>
      </c>
      <c r="W19" s="59">
        <f>'2_Inputs'!W219</f>
        <v>0</v>
      </c>
      <c r="X19" s="59">
        <f>'2_Inputs'!X219</f>
        <v>0</v>
      </c>
      <c r="Y19" s="59">
        <f>'2_Inputs'!Y219</f>
        <v>1</v>
      </c>
      <c r="Z19" s="59">
        <f>'2_Inputs'!Z219</f>
        <v>0</v>
      </c>
      <c r="AA19" s="59">
        <f>'2_Inputs'!AA219</f>
        <v>0</v>
      </c>
      <c r="AB19" s="59">
        <f>'2_Inputs'!AB219</f>
        <v>1</v>
      </c>
      <c r="AC19" s="59">
        <f>'2_Inputs'!AC219</f>
        <v>0</v>
      </c>
      <c r="AD19" s="59">
        <f>'2_Inputs'!AD219</f>
        <v>0</v>
      </c>
      <c r="AE19" s="59">
        <f>'2_Inputs'!AE219</f>
        <v>1</v>
      </c>
      <c r="AF19" s="59">
        <f>'2_Inputs'!AF219</f>
        <v>0</v>
      </c>
      <c r="AG19" s="59">
        <f>'2_Inputs'!AG219</f>
        <v>0</v>
      </c>
      <c r="AH19" s="59">
        <f>'2_Inputs'!AH219</f>
        <v>1</v>
      </c>
      <c r="AI19" s="59">
        <f>'2_Inputs'!AI219</f>
        <v>0</v>
      </c>
      <c r="AJ19" s="59">
        <f>'2_Inputs'!AJ219</f>
        <v>0</v>
      </c>
      <c r="AK19" s="59">
        <f>'2_Inputs'!AK219</f>
        <v>1</v>
      </c>
      <c r="AL19" s="59">
        <f>'2_Inputs'!AL219</f>
        <v>0</v>
      </c>
      <c r="AM19" s="59">
        <f>'2_Inputs'!AM219</f>
        <v>0</v>
      </c>
      <c r="AN19" s="59">
        <f>'2_Inputs'!AN219</f>
        <v>0</v>
      </c>
      <c r="AO19" s="59">
        <f>'2_Inputs'!AO219</f>
        <v>0</v>
      </c>
      <c r="AP19" s="59">
        <f>'2_Inputs'!AP219</f>
        <v>0</v>
      </c>
      <c r="AQ19" s="59">
        <f>'2_Inputs'!AQ219</f>
        <v>2</v>
      </c>
      <c r="AR19" s="59">
        <f>'2_Inputs'!AR219</f>
        <v>0</v>
      </c>
      <c r="AS19" s="59">
        <f>'2_Inputs'!AS219</f>
        <v>0</v>
      </c>
      <c r="AT19" s="59">
        <f>'2_Inputs'!AT219</f>
        <v>1</v>
      </c>
      <c r="AU19" s="59">
        <f>'2_Inputs'!AU219</f>
        <v>0</v>
      </c>
      <c r="AV19" s="59">
        <f>'2_Inputs'!AV219</f>
        <v>0</v>
      </c>
      <c r="AW19" s="59">
        <f>'2_Inputs'!AW219</f>
        <v>1</v>
      </c>
      <c r="AX19" s="59">
        <f>'2_Inputs'!AX219</f>
        <v>0</v>
      </c>
      <c r="AY19" s="59">
        <f>'2_Inputs'!AY219</f>
        <v>1</v>
      </c>
      <c r="AZ19" s="59">
        <f>'2_Inputs'!AZ219</f>
        <v>1</v>
      </c>
      <c r="BA19" s="59">
        <f>'2_Inputs'!BA219</f>
        <v>0</v>
      </c>
    </row>
    <row r="20" ht="14.25" customHeight="1">
      <c r="A20" s="157" t="s">
        <v>630</v>
      </c>
      <c r="B20" s="80">
        <f>0</f>
        <v>0</v>
      </c>
      <c r="C20" s="7">
        <f>-ROUND(B21*'2_Inputs'!$B$40/12,0)</f>
        <v>0</v>
      </c>
      <c r="D20" s="7">
        <f>-ROUND(C21*'2_Inputs'!$B$40/12,0)</f>
        <v>0</v>
      </c>
      <c r="E20" s="7">
        <f>-ROUND(D21*'2_Inputs'!$B$40/12,0)</f>
        <v>0</v>
      </c>
      <c r="F20" s="7">
        <f>-ROUND(E21*'2_Inputs'!$B$40/12,0)</f>
        <v>0</v>
      </c>
      <c r="G20" s="7">
        <f>-ROUND(F21*'2_Inputs'!$B$40/12,0)</f>
        <v>0</v>
      </c>
      <c r="H20" s="7">
        <f>-ROUND(G21*'2_Inputs'!$B$40/12,0)</f>
        <v>0</v>
      </c>
      <c r="I20" s="7">
        <f>-ROUND(H21*'2_Inputs'!$B$40/12,0)</f>
        <v>0</v>
      </c>
      <c r="J20" s="7">
        <f>-ROUND(I21*'2_Inputs'!$B$40/12,0)</f>
        <v>0</v>
      </c>
      <c r="K20" s="7">
        <f>-ROUND(J21*'2_Inputs'!$B$40/12,0)</f>
        <v>0</v>
      </c>
      <c r="L20" s="7">
        <f>-ROUND(K21*'2_Inputs'!$B$40/12,0)</f>
        <v>0</v>
      </c>
      <c r="M20" s="7">
        <f>-ROUND(L21*'2_Inputs'!$B$40/12,0)</f>
        <v>0</v>
      </c>
      <c r="N20" s="7">
        <f>-ROUND(M21*'2_Inputs'!$B$40/12,0)</f>
        <v>0</v>
      </c>
      <c r="O20" s="7">
        <f>-ROUND(N21*'2_Inputs'!$B$40/12,0)</f>
        <v>0</v>
      </c>
      <c r="P20" s="7">
        <f>-ROUND(O21*'2_Inputs'!$B$40/12,0)</f>
        <v>0</v>
      </c>
      <c r="Q20" s="7">
        <f>-ROUND(P21*'2_Inputs'!$B$40/12,0)</f>
        <v>0</v>
      </c>
      <c r="R20" s="7">
        <f>-ROUND(Q21*'2_Inputs'!$B$40/12,0)</f>
        <v>0</v>
      </c>
      <c r="S20" s="7">
        <f>-ROUND(R21*'2_Inputs'!$B$40/12,0)</f>
        <v>0</v>
      </c>
      <c r="T20" s="7">
        <f>-ROUND(S21*'2_Inputs'!$B$40/12,0)</f>
        <v>0</v>
      </c>
      <c r="U20" s="7">
        <f>-ROUND(T21*'2_Inputs'!$B$40/12,0)</f>
        <v>0</v>
      </c>
      <c r="V20" s="7">
        <f>-ROUND(U21*'2_Inputs'!$B$40/12,0)</f>
        <v>0</v>
      </c>
      <c r="W20" s="7">
        <f>-ROUND(V21*'2_Inputs'!$B$40/12,0)</f>
        <v>0</v>
      </c>
      <c r="X20" s="7">
        <f>-ROUND(W21*'2_Inputs'!$B$40/12,0)</f>
        <v>0</v>
      </c>
      <c r="Y20" s="7">
        <f>-ROUND(X21*'2_Inputs'!$B$40/12,0)</f>
        <v>0</v>
      </c>
      <c r="Z20" s="7">
        <f>-ROUND(Y21*'2_Inputs'!$B$40/12,0)</f>
        <v>0</v>
      </c>
      <c r="AA20" s="7">
        <f>-ROUND(Z21*'2_Inputs'!$B$40/12,0)</f>
        <v>0</v>
      </c>
      <c r="AB20" s="7">
        <f>-ROUND(AA21*'2_Inputs'!$B$40/12,0)</f>
        <v>0</v>
      </c>
      <c r="AC20" s="7">
        <f>-ROUND(AB21*'2_Inputs'!$B$40/12,0)</f>
        <v>0</v>
      </c>
      <c r="AD20" s="7">
        <f>-ROUND(AC21*'2_Inputs'!$B$40/12,0)</f>
        <v>0</v>
      </c>
      <c r="AE20" s="7">
        <f>-ROUND(AD21*'2_Inputs'!$B$40/12,0)</f>
        <v>0</v>
      </c>
      <c r="AF20" s="7">
        <f>-ROUND(AE21*'2_Inputs'!$B$40/12,0)</f>
        <v>0</v>
      </c>
      <c r="AG20" s="7">
        <f>-ROUND(AF21*'2_Inputs'!$B$40/12,0)</f>
        <v>0</v>
      </c>
      <c r="AH20" s="7">
        <f>-ROUND(AG21*'2_Inputs'!$B$40/12,0)</f>
        <v>0</v>
      </c>
      <c r="AI20" s="7">
        <f>-ROUND(AH21*'2_Inputs'!$B$40/12,0)</f>
        <v>0</v>
      </c>
      <c r="AJ20" s="7">
        <f>-ROUND(AI21*'2_Inputs'!$B$40/12,0)</f>
        <v>0</v>
      </c>
      <c r="AK20" s="7">
        <f>-ROUND(AJ21*'2_Inputs'!$B$40/12,0)</f>
        <v>0</v>
      </c>
      <c r="AL20" s="7">
        <f>-ROUND(AK21*'2_Inputs'!$B$40/12,0)</f>
        <v>0</v>
      </c>
      <c r="AM20" s="7">
        <f>-ROUND(AL21*'2_Inputs'!$B$40/12,0)</f>
        <v>0</v>
      </c>
      <c r="AN20" s="7">
        <f>-ROUND(AM21*'2_Inputs'!$B$40/12,0)</f>
        <v>0</v>
      </c>
      <c r="AO20" s="7">
        <f>-ROUND(AN21*'2_Inputs'!$B$40/12,0)</f>
        <v>0</v>
      </c>
      <c r="AP20" s="7">
        <f>-ROUND(AO21*'2_Inputs'!$B$40/12,0)</f>
        <v>0</v>
      </c>
      <c r="AQ20" s="7">
        <f>-ROUND(AP21*'2_Inputs'!$B$40/12,0)</f>
        <v>0</v>
      </c>
      <c r="AR20" s="7">
        <f>-ROUND(AQ21*'2_Inputs'!$B$40/12,0)</f>
        <v>0</v>
      </c>
      <c r="AS20" s="7">
        <f>-ROUND(AR21*'2_Inputs'!$B$40/12,0)</f>
        <v>0</v>
      </c>
      <c r="AT20" s="7">
        <f>-ROUND(AS21*'2_Inputs'!$B$40/12,0)</f>
        <v>0</v>
      </c>
      <c r="AU20" s="7">
        <f>-ROUND(AT21*'2_Inputs'!$B$40/12,0)</f>
        <v>0</v>
      </c>
      <c r="AV20" s="7">
        <f>-ROUND(AU21*'2_Inputs'!$B$40/12,0)</f>
        <v>0</v>
      </c>
      <c r="AW20" s="7">
        <f>-ROUND(AV21*'2_Inputs'!$B$40/12,0)</f>
        <v>0</v>
      </c>
      <c r="AX20" s="7">
        <f>-ROUND(AW21*'2_Inputs'!$B$40/12,0)</f>
        <v>0</v>
      </c>
      <c r="AY20" s="7">
        <f>-ROUND(AX21*'2_Inputs'!$B$40/12,0)</f>
        <v>0</v>
      </c>
      <c r="AZ20" s="7">
        <f>-ROUND(AY21*'2_Inputs'!$B$40/12,0)</f>
        <v>0</v>
      </c>
      <c r="BA20" s="7">
        <f>-ROUND(AZ21*'2_Inputs'!$B$40/12,0)</f>
        <v>0</v>
      </c>
    </row>
    <row r="21" ht="14.25" customHeight="1">
      <c r="A21" s="80" t="s">
        <v>631</v>
      </c>
      <c r="B21" s="154">
        <f>B19</f>
        <v>0</v>
      </c>
      <c r="C21" s="59">
        <f t="shared" ref="C21:BA21" si="5">B21+C19+C20</f>
        <v>0</v>
      </c>
      <c r="D21" s="59">
        <f t="shared" si="5"/>
        <v>0</v>
      </c>
      <c r="E21" s="59">
        <f t="shared" si="5"/>
        <v>0</v>
      </c>
      <c r="F21" s="59">
        <f t="shared" si="5"/>
        <v>0</v>
      </c>
      <c r="G21" s="59">
        <f t="shared" si="5"/>
        <v>0</v>
      </c>
      <c r="H21" s="59">
        <f t="shared" si="5"/>
        <v>0</v>
      </c>
      <c r="I21" s="59">
        <f t="shared" si="5"/>
        <v>0</v>
      </c>
      <c r="J21" s="59">
        <f t="shared" si="5"/>
        <v>0</v>
      </c>
      <c r="K21" s="59">
        <f t="shared" si="5"/>
        <v>0</v>
      </c>
      <c r="L21" s="59">
        <f t="shared" si="5"/>
        <v>0</v>
      </c>
      <c r="M21" s="59">
        <f t="shared" si="5"/>
        <v>0</v>
      </c>
      <c r="N21" s="59">
        <f t="shared" si="5"/>
        <v>0</v>
      </c>
      <c r="O21" s="59">
        <f t="shared" si="5"/>
        <v>0</v>
      </c>
      <c r="P21" s="59">
        <f t="shared" si="5"/>
        <v>0</v>
      </c>
      <c r="Q21" s="59">
        <f t="shared" si="5"/>
        <v>0</v>
      </c>
      <c r="R21" s="59">
        <f t="shared" si="5"/>
        <v>0</v>
      </c>
      <c r="S21" s="59">
        <f t="shared" si="5"/>
        <v>0</v>
      </c>
      <c r="T21" s="59">
        <f t="shared" si="5"/>
        <v>0</v>
      </c>
      <c r="U21" s="59">
        <f t="shared" si="5"/>
        <v>0</v>
      </c>
      <c r="V21" s="59">
        <f t="shared" si="5"/>
        <v>0</v>
      </c>
      <c r="W21" s="59">
        <f t="shared" si="5"/>
        <v>0</v>
      </c>
      <c r="X21" s="59">
        <f t="shared" si="5"/>
        <v>0</v>
      </c>
      <c r="Y21" s="59">
        <f t="shared" si="5"/>
        <v>1</v>
      </c>
      <c r="Z21" s="59">
        <f t="shared" si="5"/>
        <v>1</v>
      </c>
      <c r="AA21" s="59">
        <f t="shared" si="5"/>
        <v>1</v>
      </c>
      <c r="AB21" s="59">
        <f t="shared" si="5"/>
        <v>2</v>
      </c>
      <c r="AC21" s="59">
        <f t="shared" si="5"/>
        <v>2</v>
      </c>
      <c r="AD21" s="59">
        <f t="shared" si="5"/>
        <v>2</v>
      </c>
      <c r="AE21" s="59">
        <f t="shared" si="5"/>
        <v>3</v>
      </c>
      <c r="AF21" s="59">
        <f t="shared" si="5"/>
        <v>3</v>
      </c>
      <c r="AG21" s="59">
        <f t="shared" si="5"/>
        <v>3</v>
      </c>
      <c r="AH21" s="59">
        <f t="shared" si="5"/>
        <v>4</v>
      </c>
      <c r="AI21" s="59">
        <f t="shared" si="5"/>
        <v>4</v>
      </c>
      <c r="AJ21" s="59">
        <f t="shared" si="5"/>
        <v>4</v>
      </c>
      <c r="AK21" s="59">
        <f t="shared" si="5"/>
        <v>5</v>
      </c>
      <c r="AL21" s="59">
        <f t="shared" si="5"/>
        <v>5</v>
      </c>
      <c r="AM21" s="59">
        <f t="shared" si="5"/>
        <v>5</v>
      </c>
      <c r="AN21" s="59">
        <f t="shared" si="5"/>
        <v>5</v>
      </c>
      <c r="AO21" s="59">
        <f t="shared" si="5"/>
        <v>5</v>
      </c>
      <c r="AP21" s="59">
        <f t="shared" si="5"/>
        <v>5</v>
      </c>
      <c r="AQ21" s="59">
        <f t="shared" si="5"/>
        <v>7</v>
      </c>
      <c r="AR21" s="59">
        <f t="shared" si="5"/>
        <v>7</v>
      </c>
      <c r="AS21" s="59">
        <f t="shared" si="5"/>
        <v>7</v>
      </c>
      <c r="AT21" s="59">
        <f t="shared" si="5"/>
        <v>8</v>
      </c>
      <c r="AU21" s="59">
        <f t="shared" si="5"/>
        <v>8</v>
      </c>
      <c r="AV21" s="59">
        <f t="shared" si="5"/>
        <v>8</v>
      </c>
      <c r="AW21" s="59">
        <f t="shared" si="5"/>
        <v>9</v>
      </c>
      <c r="AX21" s="59">
        <f t="shared" si="5"/>
        <v>9</v>
      </c>
      <c r="AY21" s="59">
        <f t="shared" si="5"/>
        <v>10</v>
      </c>
      <c r="AZ21" s="59">
        <f t="shared" si="5"/>
        <v>11</v>
      </c>
      <c r="BA21" s="59">
        <f t="shared" si="5"/>
        <v>11</v>
      </c>
    </row>
    <row r="22" ht="14.25" customHeight="1">
      <c r="A22" s="80" t="s">
        <v>632</v>
      </c>
      <c r="B22" s="154">
        <f>'2_Inputs'!$B$37*(1+'2_Inputs'!$B$38)^INT((COLUMN()-2)/12)/12</f>
        <v>4166.666667</v>
      </c>
      <c r="C22" s="59">
        <f>'2_Inputs'!$B$37*(1+'2_Inputs'!$B$38)^INT((COLUMN()-2)/12)/12</f>
        <v>4166.666667</v>
      </c>
      <c r="D22" s="59">
        <f>'2_Inputs'!$B$37*(1+'2_Inputs'!$B$38)^INT((COLUMN()-2)/12)/12</f>
        <v>4166.666667</v>
      </c>
      <c r="E22" s="59">
        <f>'2_Inputs'!$B$37*(1+'2_Inputs'!$B$38)^INT((COLUMN()-2)/12)/12</f>
        <v>4166.666667</v>
      </c>
      <c r="F22" s="59">
        <f>'2_Inputs'!$B$37*(1+'2_Inputs'!$B$38)^INT((COLUMN()-2)/12)/12</f>
        <v>4166.666667</v>
      </c>
      <c r="G22" s="59">
        <f>'2_Inputs'!$B$37*(1+'2_Inputs'!$B$38)^INT((COLUMN()-2)/12)/12</f>
        <v>4166.666667</v>
      </c>
      <c r="H22" s="59">
        <f>'2_Inputs'!$B$37*(1+'2_Inputs'!$B$38)^INT((COLUMN()-2)/12)/12</f>
        <v>4166.666667</v>
      </c>
      <c r="I22" s="59">
        <f>'2_Inputs'!$B$37*(1+'2_Inputs'!$B$38)^INT((COLUMN()-2)/12)/12</f>
        <v>4166.666667</v>
      </c>
      <c r="J22" s="59">
        <f>'2_Inputs'!$B$37*(1+'2_Inputs'!$B$38)^INT((COLUMN()-2)/12)/12</f>
        <v>4166.666667</v>
      </c>
      <c r="K22" s="59">
        <f>'2_Inputs'!$B$37*(1+'2_Inputs'!$B$38)^INT((COLUMN()-2)/12)/12</f>
        <v>4166.666667</v>
      </c>
      <c r="L22" s="59">
        <f>'2_Inputs'!$B$37*(1+'2_Inputs'!$B$38)^INT((COLUMN()-2)/12)/12</f>
        <v>4166.666667</v>
      </c>
      <c r="M22" s="59">
        <f>'2_Inputs'!$B$37*(1+'2_Inputs'!$B$38)^INT((COLUMN()-2)/12)/12</f>
        <v>4166.666667</v>
      </c>
      <c r="N22" s="59">
        <f>'2_Inputs'!$B$37*(1+'2_Inputs'!$B$38)^INT((COLUMN()-2)/12)/12</f>
        <v>4333.333333</v>
      </c>
      <c r="O22" s="59">
        <f>'2_Inputs'!$B$37*(1+'2_Inputs'!$B$38)^INT((COLUMN()-2)/12)/12</f>
        <v>4333.333333</v>
      </c>
      <c r="P22" s="59">
        <f>'2_Inputs'!$B$37*(1+'2_Inputs'!$B$38)^INT((COLUMN()-2)/12)/12</f>
        <v>4333.333333</v>
      </c>
      <c r="Q22" s="59">
        <f>'2_Inputs'!$B$37*(1+'2_Inputs'!$B$38)^INT((COLUMN()-2)/12)/12</f>
        <v>4333.333333</v>
      </c>
      <c r="R22" s="59">
        <f>'2_Inputs'!$B$37*(1+'2_Inputs'!$B$38)^INT((COLUMN()-2)/12)/12</f>
        <v>4333.333333</v>
      </c>
      <c r="S22" s="59">
        <f>'2_Inputs'!$B$37*(1+'2_Inputs'!$B$38)^INT((COLUMN()-2)/12)/12</f>
        <v>4333.333333</v>
      </c>
      <c r="T22" s="59">
        <f>'2_Inputs'!$B$37*(1+'2_Inputs'!$B$38)^INT((COLUMN()-2)/12)/12</f>
        <v>4333.333333</v>
      </c>
      <c r="U22" s="59">
        <f>'2_Inputs'!$B$37*(1+'2_Inputs'!$B$38)^INT((COLUMN()-2)/12)/12</f>
        <v>4333.333333</v>
      </c>
      <c r="V22" s="59">
        <f>'2_Inputs'!$B$37*(1+'2_Inputs'!$B$38)^INT((COLUMN()-2)/12)/12</f>
        <v>4333.333333</v>
      </c>
      <c r="W22" s="59">
        <f>'2_Inputs'!$B$37*(1+'2_Inputs'!$B$38)^INT((COLUMN()-2)/12)/12</f>
        <v>4333.333333</v>
      </c>
      <c r="X22" s="59">
        <f>'2_Inputs'!$B$37*(1+'2_Inputs'!$B$38)^INT((COLUMN()-2)/12)/12</f>
        <v>4333.333333</v>
      </c>
      <c r="Y22" s="59">
        <f>'2_Inputs'!$B$37*(1+'2_Inputs'!$B$38)^INT((COLUMN()-2)/12)/12</f>
        <v>4333.333333</v>
      </c>
      <c r="Z22" s="59">
        <f>'2_Inputs'!$B$37*(1+'2_Inputs'!$B$38)^INT((COLUMN()-2)/12)/12</f>
        <v>4506.666667</v>
      </c>
      <c r="AA22" s="59">
        <f>'2_Inputs'!$B$37*(1+'2_Inputs'!$B$38)^INT((COLUMN()-2)/12)/12</f>
        <v>4506.666667</v>
      </c>
      <c r="AB22" s="59">
        <f>'2_Inputs'!$B$37*(1+'2_Inputs'!$B$38)^INT((COLUMN()-2)/12)/12</f>
        <v>4506.666667</v>
      </c>
      <c r="AC22" s="59">
        <f>'2_Inputs'!$B$37*(1+'2_Inputs'!$B$38)^INT((COLUMN()-2)/12)/12</f>
        <v>4506.666667</v>
      </c>
      <c r="AD22" s="59">
        <f>'2_Inputs'!$B$37*(1+'2_Inputs'!$B$38)^INT((COLUMN()-2)/12)/12</f>
        <v>4506.666667</v>
      </c>
      <c r="AE22" s="59">
        <f>'2_Inputs'!$B$37*(1+'2_Inputs'!$B$38)^INT((COLUMN()-2)/12)/12</f>
        <v>4506.666667</v>
      </c>
      <c r="AF22" s="59">
        <f>'2_Inputs'!$B$37*(1+'2_Inputs'!$B$38)^INT((COLUMN()-2)/12)/12</f>
        <v>4506.666667</v>
      </c>
      <c r="AG22" s="59">
        <f>'2_Inputs'!$B$37*(1+'2_Inputs'!$B$38)^INT((COLUMN()-2)/12)/12</f>
        <v>4506.666667</v>
      </c>
      <c r="AH22" s="59">
        <f>'2_Inputs'!$B$37*(1+'2_Inputs'!$B$38)^INT((COLUMN()-2)/12)/12</f>
        <v>4506.666667</v>
      </c>
      <c r="AI22" s="59">
        <f>'2_Inputs'!$B$37*(1+'2_Inputs'!$B$38)^INT((COLUMN()-2)/12)/12</f>
        <v>4506.666667</v>
      </c>
      <c r="AJ22" s="59">
        <f>'2_Inputs'!$B$37*(1+'2_Inputs'!$B$38)^INT((COLUMN()-2)/12)/12</f>
        <v>4506.666667</v>
      </c>
      <c r="AK22" s="59">
        <f>'2_Inputs'!$B$37*(1+'2_Inputs'!$B$38)^INT((COLUMN()-2)/12)/12</f>
        <v>4506.666667</v>
      </c>
      <c r="AL22" s="59">
        <f>'2_Inputs'!$B$37*(1+'2_Inputs'!$B$38)^INT((COLUMN()-2)/12)/12</f>
        <v>4686.933333</v>
      </c>
      <c r="AM22" s="59">
        <f>'2_Inputs'!$B$37*(1+'2_Inputs'!$B$38)^INT((COLUMN()-2)/12)/12</f>
        <v>4686.933333</v>
      </c>
      <c r="AN22" s="59">
        <f>'2_Inputs'!$B$37*(1+'2_Inputs'!$B$38)^INT((COLUMN()-2)/12)/12</f>
        <v>4686.933333</v>
      </c>
      <c r="AO22" s="59">
        <f>'2_Inputs'!$B$37*(1+'2_Inputs'!$B$38)^INT((COLUMN()-2)/12)/12</f>
        <v>4686.933333</v>
      </c>
      <c r="AP22" s="59">
        <f>'2_Inputs'!$B$37*(1+'2_Inputs'!$B$38)^INT((COLUMN()-2)/12)/12</f>
        <v>4686.933333</v>
      </c>
      <c r="AQ22" s="59">
        <f>'2_Inputs'!$B$37*(1+'2_Inputs'!$B$38)^INT((COLUMN()-2)/12)/12</f>
        <v>4686.933333</v>
      </c>
      <c r="AR22" s="59">
        <f>'2_Inputs'!$B$37*(1+'2_Inputs'!$B$38)^INT((COLUMN()-2)/12)/12</f>
        <v>4686.933333</v>
      </c>
      <c r="AS22" s="59">
        <f>'2_Inputs'!$B$37*(1+'2_Inputs'!$B$38)^INT((COLUMN()-2)/12)/12</f>
        <v>4686.933333</v>
      </c>
      <c r="AT22" s="59">
        <f>'2_Inputs'!$B$37*(1+'2_Inputs'!$B$38)^INT((COLUMN()-2)/12)/12</f>
        <v>4686.933333</v>
      </c>
      <c r="AU22" s="59">
        <f>'2_Inputs'!$B$37*(1+'2_Inputs'!$B$38)^INT((COLUMN()-2)/12)/12</f>
        <v>4686.933333</v>
      </c>
      <c r="AV22" s="59">
        <f>'2_Inputs'!$B$37*(1+'2_Inputs'!$B$38)^INT((COLUMN()-2)/12)/12</f>
        <v>4686.933333</v>
      </c>
      <c r="AW22" s="59">
        <f>'2_Inputs'!$B$37*(1+'2_Inputs'!$B$38)^INT((COLUMN()-2)/12)/12</f>
        <v>4686.933333</v>
      </c>
      <c r="AX22" s="59">
        <f>'2_Inputs'!$B$37*(1+'2_Inputs'!$B$38)^INT((COLUMN()-2)/12)/12</f>
        <v>4874.410667</v>
      </c>
      <c r="AY22" s="59">
        <f>'2_Inputs'!$B$37*(1+'2_Inputs'!$B$38)^INT((COLUMN()-2)/12)/12</f>
        <v>4874.410667</v>
      </c>
      <c r="AZ22" s="59">
        <f>'2_Inputs'!$B$37*(1+'2_Inputs'!$B$38)^INT((COLUMN()-2)/12)/12</f>
        <v>4874.410667</v>
      </c>
      <c r="BA22" s="59">
        <f>'2_Inputs'!$B$37*(1+'2_Inputs'!$B$38)^INT((COLUMN()-2)/12)/12</f>
        <v>4874.410667</v>
      </c>
    </row>
    <row r="23" ht="14.25" customHeight="1">
      <c r="A23" s="120" t="s">
        <v>633</v>
      </c>
      <c r="B23" s="121">
        <f t="shared" ref="B23:BA23" si="6">B21*B22</f>
        <v>0</v>
      </c>
      <c r="C23" s="59">
        <f t="shared" si="6"/>
        <v>0</v>
      </c>
      <c r="D23" s="59">
        <f t="shared" si="6"/>
        <v>0</v>
      </c>
      <c r="E23" s="59">
        <f t="shared" si="6"/>
        <v>0</v>
      </c>
      <c r="F23" s="59">
        <f t="shared" si="6"/>
        <v>0</v>
      </c>
      <c r="G23" s="59">
        <f t="shared" si="6"/>
        <v>0</v>
      </c>
      <c r="H23" s="59">
        <f t="shared" si="6"/>
        <v>0</v>
      </c>
      <c r="I23" s="59">
        <f t="shared" si="6"/>
        <v>0</v>
      </c>
      <c r="J23" s="59">
        <f t="shared" si="6"/>
        <v>0</v>
      </c>
      <c r="K23" s="59">
        <f t="shared" si="6"/>
        <v>0</v>
      </c>
      <c r="L23" s="59">
        <f t="shared" si="6"/>
        <v>0</v>
      </c>
      <c r="M23" s="59">
        <f t="shared" si="6"/>
        <v>0</v>
      </c>
      <c r="N23" s="59">
        <f t="shared" si="6"/>
        <v>0</v>
      </c>
      <c r="O23" s="59">
        <f t="shared" si="6"/>
        <v>0</v>
      </c>
      <c r="P23" s="59">
        <f t="shared" si="6"/>
        <v>0</v>
      </c>
      <c r="Q23" s="59">
        <f t="shared" si="6"/>
        <v>0</v>
      </c>
      <c r="R23" s="59">
        <f t="shared" si="6"/>
        <v>0</v>
      </c>
      <c r="S23" s="59">
        <f t="shared" si="6"/>
        <v>0</v>
      </c>
      <c r="T23" s="59">
        <f t="shared" si="6"/>
        <v>0</v>
      </c>
      <c r="U23" s="59">
        <f t="shared" si="6"/>
        <v>0</v>
      </c>
      <c r="V23" s="59">
        <f t="shared" si="6"/>
        <v>0</v>
      </c>
      <c r="W23" s="59">
        <f t="shared" si="6"/>
        <v>0</v>
      </c>
      <c r="X23" s="59">
        <f t="shared" si="6"/>
        <v>0</v>
      </c>
      <c r="Y23" s="59">
        <f t="shared" si="6"/>
        <v>4333.333333</v>
      </c>
      <c r="Z23" s="59">
        <f t="shared" si="6"/>
        <v>4506.666667</v>
      </c>
      <c r="AA23" s="59">
        <f t="shared" si="6"/>
        <v>4506.666667</v>
      </c>
      <c r="AB23" s="59">
        <f t="shared" si="6"/>
        <v>9013.333333</v>
      </c>
      <c r="AC23" s="59">
        <f t="shared" si="6"/>
        <v>9013.333333</v>
      </c>
      <c r="AD23" s="59">
        <f t="shared" si="6"/>
        <v>9013.333333</v>
      </c>
      <c r="AE23" s="59">
        <f t="shared" si="6"/>
        <v>13520</v>
      </c>
      <c r="AF23" s="59">
        <f t="shared" si="6"/>
        <v>13520</v>
      </c>
      <c r="AG23" s="59">
        <f t="shared" si="6"/>
        <v>13520</v>
      </c>
      <c r="AH23" s="59">
        <f t="shared" si="6"/>
        <v>18026.66667</v>
      </c>
      <c r="AI23" s="59">
        <f t="shared" si="6"/>
        <v>18026.66667</v>
      </c>
      <c r="AJ23" s="59">
        <f t="shared" si="6"/>
        <v>18026.66667</v>
      </c>
      <c r="AK23" s="59">
        <f t="shared" si="6"/>
        <v>22533.33333</v>
      </c>
      <c r="AL23" s="59">
        <f t="shared" si="6"/>
        <v>23434.66667</v>
      </c>
      <c r="AM23" s="59">
        <f t="shared" si="6"/>
        <v>23434.66667</v>
      </c>
      <c r="AN23" s="59">
        <f t="shared" si="6"/>
        <v>23434.66667</v>
      </c>
      <c r="AO23" s="59">
        <f t="shared" si="6"/>
        <v>23434.66667</v>
      </c>
      <c r="AP23" s="59">
        <f t="shared" si="6"/>
        <v>23434.66667</v>
      </c>
      <c r="AQ23" s="59">
        <f t="shared" si="6"/>
        <v>32808.53333</v>
      </c>
      <c r="AR23" s="59">
        <f t="shared" si="6"/>
        <v>32808.53333</v>
      </c>
      <c r="AS23" s="59">
        <f t="shared" si="6"/>
        <v>32808.53333</v>
      </c>
      <c r="AT23" s="59">
        <f t="shared" si="6"/>
        <v>37495.46667</v>
      </c>
      <c r="AU23" s="59">
        <f t="shared" si="6"/>
        <v>37495.46667</v>
      </c>
      <c r="AV23" s="59">
        <f t="shared" si="6"/>
        <v>37495.46667</v>
      </c>
      <c r="AW23" s="59">
        <f t="shared" si="6"/>
        <v>42182.4</v>
      </c>
      <c r="AX23" s="59">
        <f t="shared" si="6"/>
        <v>43869.696</v>
      </c>
      <c r="AY23" s="59">
        <f t="shared" si="6"/>
        <v>48744.10667</v>
      </c>
      <c r="AZ23" s="59">
        <f t="shared" si="6"/>
        <v>53618.51733</v>
      </c>
      <c r="BA23" s="59">
        <f t="shared" si="6"/>
        <v>53618.51733</v>
      </c>
    </row>
    <row r="24" ht="14.25" customHeight="1">
      <c r="A24" s="153" t="s">
        <v>634</v>
      </c>
      <c r="B24" s="158"/>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row>
    <row r="25" ht="14.25" customHeight="1">
      <c r="A25" s="159" t="s">
        <v>635</v>
      </c>
      <c r="B25" s="160">
        <f t="shared" ref="B25:BA25" si="7">B10+B17+B23</f>
        <v>0</v>
      </c>
      <c r="C25" s="160">
        <f t="shared" si="7"/>
        <v>0</v>
      </c>
      <c r="D25" s="160">
        <f t="shared" si="7"/>
        <v>0</v>
      </c>
      <c r="E25" s="160">
        <f t="shared" si="7"/>
        <v>0</v>
      </c>
      <c r="F25" s="160">
        <f t="shared" si="7"/>
        <v>0</v>
      </c>
      <c r="G25" s="160">
        <f t="shared" si="7"/>
        <v>0</v>
      </c>
      <c r="H25" s="160">
        <f t="shared" si="7"/>
        <v>2760</v>
      </c>
      <c r="I25" s="160">
        <f t="shared" si="7"/>
        <v>2760</v>
      </c>
      <c r="J25" s="160">
        <f t="shared" si="7"/>
        <v>2760</v>
      </c>
      <c r="K25" s="160">
        <f t="shared" si="7"/>
        <v>2760</v>
      </c>
      <c r="L25" s="160">
        <f t="shared" si="7"/>
        <v>5520</v>
      </c>
      <c r="M25" s="160">
        <f t="shared" si="7"/>
        <v>5520</v>
      </c>
      <c r="N25" s="160">
        <f t="shared" si="7"/>
        <v>8611.2</v>
      </c>
      <c r="O25" s="160">
        <f t="shared" si="7"/>
        <v>8611.2</v>
      </c>
      <c r="P25" s="160">
        <f t="shared" si="7"/>
        <v>8611.2</v>
      </c>
      <c r="Q25" s="160">
        <f t="shared" si="7"/>
        <v>8611.2</v>
      </c>
      <c r="R25" s="160">
        <f t="shared" si="7"/>
        <v>8611.2</v>
      </c>
      <c r="S25" s="160">
        <f t="shared" si="7"/>
        <v>21840</v>
      </c>
      <c r="T25" s="160">
        <f t="shared" si="7"/>
        <v>40809.6</v>
      </c>
      <c r="U25" s="160">
        <f t="shared" si="7"/>
        <v>46550.4</v>
      </c>
      <c r="V25" s="160">
        <f t="shared" si="7"/>
        <v>59779.2</v>
      </c>
      <c r="W25" s="160">
        <f t="shared" si="7"/>
        <v>59779.2</v>
      </c>
      <c r="X25" s="160">
        <f t="shared" si="7"/>
        <v>94848</v>
      </c>
      <c r="Y25" s="160">
        <f t="shared" si="7"/>
        <v>98630.13333</v>
      </c>
      <c r="Z25" s="160">
        <f t="shared" si="7"/>
        <v>130091.2427</v>
      </c>
      <c r="AA25" s="160">
        <f t="shared" si="7"/>
        <v>145352.6187</v>
      </c>
      <c r="AB25" s="160">
        <f t="shared" si="7"/>
        <v>149286.0373</v>
      </c>
      <c r="AC25" s="160">
        <f t="shared" si="7"/>
        <v>148712.7893</v>
      </c>
      <c r="AD25" s="160">
        <f t="shared" si="7"/>
        <v>148139.5413</v>
      </c>
      <c r="AE25" s="160">
        <f t="shared" si="7"/>
        <v>179588.864</v>
      </c>
      <c r="AF25" s="160">
        <f t="shared" si="7"/>
        <v>193941.696</v>
      </c>
      <c r="AG25" s="160">
        <f t="shared" si="7"/>
        <v>220884.352</v>
      </c>
      <c r="AH25" s="160">
        <f t="shared" si="7"/>
        <v>271153.5147</v>
      </c>
      <c r="AI25" s="160">
        <f t="shared" si="7"/>
        <v>270082.7307</v>
      </c>
      <c r="AJ25" s="160">
        <f t="shared" si="7"/>
        <v>296527.8507</v>
      </c>
      <c r="AK25" s="160">
        <f t="shared" si="7"/>
        <v>305360.9173</v>
      </c>
      <c r="AL25" s="160">
        <f t="shared" si="7"/>
        <v>325179.4347</v>
      </c>
      <c r="AM25" s="160">
        <f t="shared" si="7"/>
        <v>375708.3255</v>
      </c>
      <c r="AN25" s="160">
        <f t="shared" si="7"/>
        <v>402615.0724</v>
      </c>
      <c r="AO25" s="160">
        <f t="shared" si="7"/>
        <v>431681.5582</v>
      </c>
      <c r="AP25" s="160">
        <f t="shared" si="7"/>
        <v>471006.8036</v>
      </c>
      <c r="AQ25" s="160">
        <f t="shared" si="7"/>
        <v>529964.6754</v>
      </c>
      <c r="AR25" s="160">
        <f t="shared" si="7"/>
        <v>567748.8572</v>
      </c>
      <c r="AS25" s="160">
        <f t="shared" si="7"/>
        <v>602428.4143</v>
      </c>
      <c r="AT25" s="160">
        <f t="shared" si="7"/>
        <v>652998.5502</v>
      </c>
      <c r="AU25" s="160">
        <f t="shared" si="7"/>
        <v>694832.2423</v>
      </c>
      <c r="AV25" s="160">
        <f t="shared" si="7"/>
        <v>740715.4449</v>
      </c>
      <c r="AW25" s="160">
        <f t="shared" si="7"/>
        <v>772759.0707</v>
      </c>
      <c r="AX25" s="160">
        <f t="shared" si="7"/>
        <v>856687.4235</v>
      </c>
      <c r="AY25" s="160">
        <f t="shared" si="7"/>
        <v>913597.1429</v>
      </c>
      <c r="AZ25" s="160">
        <f t="shared" si="7"/>
        <v>960820.4334</v>
      </c>
      <c r="BA25" s="160">
        <f t="shared" si="7"/>
        <v>1010609.614</v>
      </c>
    </row>
    <row r="26" ht="14.25" customHeight="1">
      <c r="A26" s="159" t="s">
        <v>636</v>
      </c>
      <c r="B26" s="160">
        <f t="shared" ref="B26:BA26" si="8">B25*12</f>
        <v>0</v>
      </c>
      <c r="C26" s="160">
        <f t="shared" si="8"/>
        <v>0</v>
      </c>
      <c r="D26" s="160">
        <f t="shared" si="8"/>
        <v>0</v>
      </c>
      <c r="E26" s="160">
        <f t="shared" si="8"/>
        <v>0</v>
      </c>
      <c r="F26" s="160">
        <f t="shared" si="8"/>
        <v>0</v>
      </c>
      <c r="G26" s="160">
        <f t="shared" si="8"/>
        <v>0</v>
      </c>
      <c r="H26" s="160">
        <f t="shared" si="8"/>
        <v>33120</v>
      </c>
      <c r="I26" s="160">
        <f t="shared" si="8"/>
        <v>33120</v>
      </c>
      <c r="J26" s="160">
        <f t="shared" si="8"/>
        <v>33120</v>
      </c>
      <c r="K26" s="160">
        <f t="shared" si="8"/>
        <v>33120</v>
      </c>
      <c r="L26" s="160">
        <f t="shared" si="8"/>
        <v>66240</v>
      </c>
      <c r="M26" s="160">
        <f t="shared" si="8"/>
        <v>66240</v>
      </c>
      <c r="N26" s="160">
        <f t="shared" si="8"/>
        <v>103334.4</v>
      </c>
      <c r="O26" s="160">
        <f t="shared" si="8"/>
        <v>103334.4</v>
      </c>
      <c r="P26" s="160">
        <f t="shared" si="8"/>
        <v>103334.4</v>
      </c>
      <c r="Q26" s="160">
        <f t="shared" si="8"/>
        <v>103334.4</v>
      </c>
      <c r="R26" s="160">
        <f t="shared" si="8"/>
        <v>103334.4</v>
      </c>
      <c r="S26" s="160">
        <f t="shared" si="8"/>
        <v>262080</v>
      </c>
      <c r="T26" s="160">
        <f t="shared" si="8"/>
        <v>489715.2</v>
      </c>
      <c r="U26" s="160">
        <f t="shared" si="8"/>
        <v>558604.8</v>
      </c>
      <c r="V26" s="160">
        <f t="shared" si="8"/>
        <v>717350.4</v>
      </c>
      <c r="W26" s="160">
        <f t="shared" si="8"/>
        <v>717350.4</v>
      </c>
      <c r="X26" s="160">
        <f t="shared" si="8"/>
        <v>1138176</v>
      </c>
      <c r="Y26" s="160">
        <f t="shared" si="8"/>
        <v>1183561.6</v>
      </c>
      <c r="Z26" s="160">
        <f t="shared" si="8"/>
        <v>1561094.912</v>
      </c>
      <c r="AA26" s="160">
        <f t="shared" si="8"/>
        <v>1744231.424</v>
      </c>
      <c r="AB26" s="160">
        <f t="shared" si="8"/>
        <v>1791432.448</v>
      </c>
      <c r="AC26" s="161">
        <f t="shared" si="8"/>
        <v>1784553.472</v>
      </c>
      <c r="AD26" s="160">
        <f t="shared" si="8"/>
        <v>1777674.496</v>
      </c>
      <c r="AE26" s="160">
        <f t="shared" si="8"/>
        <v>2155066.368</v>
      </c>
      <c r="AF26" s="160">
        <f t="shared" si="8"/>
        <v>2327300.352</v>
      </c>
      <c r="AG26" s="160">
        <f t="shared" si="8"/>
        <v>2650612.224</v>
      </c>
      <c r="AH26" s="160">
        <f t="shared" si="8"/>
        <v>3253842.176</v>
      </c>
      <c r="AI26" s="160">
        <f t="shared" si="8"/>
        <v>3240992.768</v>
      </c>
      <c r="AJ26" s="160">
        <f t="shared" si="8"/>
        <v>3558334.208</v>
      </c>
      <c r="AK26" s="160">
        <f t="shared" si="8"/>
        <v>3664331.008</v>
      </c>
      <c r="AL26" s="160">
        <f t="shared" si="8"/>
        <v>3902153.216</v>
      </c>
      <c r="AM26" s="160">
        <f t="shared" si="8"/>
        <v>4508499.907</v>
      </c>
      <c r="AN26" s="160">
        <f t="shared" si="8"/>
        <v>4831380.869</v>
      </c>
      <c r="AO26" s="161">
        <f t="shared" si="8"/>
        <v>5180178.698</v>
      </c>
      <c r="AP26" s="160">
        <f t="shared" si="8"/>
        <v>5652081.644</v>
      </c>
      <c r="AQ26" s="160">
        <f t="shared" si="8"/>
        <v>6359576.105</v>
      </c>
      <c r="AR26" s="160">
        <f t="shared" si="8"/>
        <v>6812986.286</v>
      </c>
      <c r="AS26" s="160">
        <f t="shared" si="8"/>
        <v>7229140.972</v>
      </c>
      <c r="AT26" s="160">
        <f t="shared" si="8"/>
        <v>7835982.602</v>
      </c>
      <c r="AU26" s="160">
        <f t="shared" si="8"/>
        <v>8337986.908</v>
      </c>
      <c r="AV26" s="160">
        <f t="shared" si="8"/>
        <v>8888585.339</v>
      </c>
      <c r="AW26" s="160">
        <f t="shared" si="8"/>
        <v>9273108.849</v>
      </c>
      <c r="AX26" s="160">
        <f t="shared" si="8"/>
        <v>10280249.08</v>
      </c>
      <c r="AY26" s="160">
        <f t="shared" si="8"/>
        <v>10963165.71</v>
      </c>
      <c r="AZ26" s="160">
        <f t="shared" si="8"/>
        <v>11529845.2</v>
      </c>
      <c r="BA26" s="160">
        <f t="shared" si="8"/>
        <v>12127315.37</v>
      </c>
    </row>
    <row r="27" ht="14.25" customHeight="1">
      <c r="A27" s="153" t="s">
        <v>637</v>
      </c>
    </row>
    <row r="28" ht="14.25" customHeight="1">
      <c r="A28" s="157" t="s">
        <v>638</v>
      </c>
      <c r="B28" s="154">
        <f t="shared" ref="B28:BA28" si="9">B5+B12+B19</f>
        <v>0</v>
      </c>
      <c r="C28" s="59">
        <f t="shared" si="9"/>
        <v>0</v>
      </c>
      <c r="D28" s="59">
        <f t="shared" si="9"/>
        <v>0</v>
      </c>
      <c r="E28" s="59">
        <f t="shared" si="9"/>
        <v>0</v>
      </c>
      <c r="F28" s="59">
        <f t="shared" si="9"/>
        <v>0</v>
      </c>
      <c r="G28" s="59">
        <f t="shared" si="9"/>
        <v>0</v>
      </c>
      <c r="H28" s="59">
        <f t="shared" si="9"/>
        <v>1</v>
      </c>
      <c r="I28" s="59">
        <f t="shared" si="9"/>
        <v>0</v>
      </c>
      <c r="J28" s="59">
        <f t="shared" si="9"/>
        <v>0</v>
      </c>
      <c r="K28" s="59">
        <f t="shared" si="9"/>
        <v>0</v>
      </c>
      <c r="L28" s="59">
        <f t="shared" si="9"/>
        <v>1</v>
      </c>
      <c r="M28" s="59">
        <f t="shared" si="9"/>
        <v>0</v>
      </c>
      <c r="N28" s="59">
        <f t="shared" si="9"/>
        <v>1</v>
      </c>
      <c r="O28" s="59">
        <f t="shared" si="9"/>
        <v>0</v>
      </c>
      <c r="P28" s="59">
        <f t="shared" si="9"/>
        <v>0</v>
      </c>
      <c r="Q28" s="59">
        <f t="shared" si="9"/>
        <v>0</v>
      </c>
      <c r="R28" s="59">
        <f t="shared" si="9"/>
        <v>0</v>
      </c>
      <c r="S28" s="59">
        <f t="shared" si="9"/>
        <v>2</v>
      </c>
      <c r="T28" s="59">
        <f t="shared" si="9"/>
        <v>4</v>
      </c>
      <c r="U28" s="59">
        <f t="shared" si="9"/>
        <v>2</v>
      </c>
      <c r="V28" s="59">
        <f t="shared" si="9"/>
        <v>2</v>
      </c>
      <c r="W28" s="59">
        <f t="shared" si="9"/>
        <v>0</v>
      </c>
      <c r="X28" s="59">
        <f t="shared" si="9"/>
        <v>7</v>
      </c>
      <c r="Y28" s="59">
        <f t="shared" si="9"/>
        <v>1</v>
      </c>
      <c r="Z28" s="59">
        <f t="shared" si="9"/>
        <v>4</v>
      </c>
      <c r="AA28" s="59">
        <f t="shared" si="9"/>
        <v>4</v>
      </c>
      <c r="AB28" s="59">
        <f t="shared" si="9"/>
        <v>1</v>
      </c>
      <c r="AC28" s="59">
        <f t="shared" si="9"/>
        <v>0</v>
      </c>
      <c r="AD28" s="59">
        <f t="shared" si="9"/>
        <v>0</v>
      </c>
      <c r="AE28" s="59">
        <f t="shared" si="9"/>
        <v>5</v>
      </c>
      <c r="AF28" s="59">
        <f t="shared" si="9"/>
        <v>5</v>
      </c>
      <c r="AG28" s="59">
        <f t="shared" si="9"/>
        <v>4</v>
      </c>
      <c r="AH28" s="59">
        <f t="shared" si="9"/>
        <v>10</v>
      </c>
      <c r="AI28" s="59">
        <f t="shared" si="9"/>
        <v>0</v>
      </c>
      <c r="AJ28" s="59">
        <f t="shared" si="9"/>
        <v>4</v>
      </c>
      <c r="AK28" s="59">
        <f t="shared" si="9"/>
        <v>3</v>
      </c>
      <c r="AL28" s="59">
        <f t="shared" si="9"/>
        <v>3</v>
      </c>
      <c r="AM28" s="59">
        <f t="shared" si="9"/>
        <v>9</v>
      </c>
      <c r="AN28" s="59">
        <f t="shared" si="9"/>
        <v>4</v>
      </c>
      <c r="AO28" s="59">
        <f t="shared" si="9"/>
        <v>6</v>
      </c>
      <c r="AP28" s="59">
        <f t="shared" si="9"/>
        <v>8</v>
      </c>
      <c r="AQ28" s="59">
        <f t="shared" si="9"/>
        <v>12</v>
      </c>
      <c r="AR28" s="59">
        <f t="shared" si="9"/>
        <v>9</v>
      </c>
      <c r="AS28" s="59">
        <f t="shared" si="9"/>
        <v>8</v>
      </c>
      <c r="AT28" s="59">
        <f t="shared" si="9"/>
        <v>10</v>
      </c>
      <c r="AU28" s="59">
        <f t="shared" si="9"/>
        <v>9</v>
      </c>
      <c r="AV28" s="59">
        <f t="shared" si="9"/>
        <v>9</v>
      </c>
      <c r="AW28" s="59">
        <f t="shared" si="9"/>
        <v>7</v>
      </c>
      <c r="AX28" s="59">
        <f t="shared" si="9"/>
        <v>11</v>
      </c>
      <c r="AY28" s="59">
        <f t="shared" si="9"/>
        <v>13</v>
      </c>
      <c r="AZ28" s="59">
        <f t="shared" si="9"/>
        <v>10</v>
      </c>
      <c r="BA28" s="59">
        <f t="shared" si="9"/>
        <v>10</v>
      </c>
    </row>
    <row r="29" ht="14.25" customHeight="1">
      <c r="A29" s="80" t="s">
        <v>639</v>
      </c>
      <c r="B29" s="80">
        <f>IF(COLUMN()-1&gt;='2_Inputs'!$B$46,B28*'2_Inputs'!$B$45*'2_Inputs'!$B$44,0)</f>
        <v>0</v>
      </c>
      <c r="C29" s="7">
        <f>IF(COLUMN()-1&gt;='2_Inputs'!$B$46,C28*'2_Inputs'!$B$45*'2_Inputs'!$B$44,0)</f>
        <v>0</v>
      </c>
      <c r="D29" s="7">
        <f>IF(COLUMN()-1&gt;='2_Inputs'!$B$46,D28*'2_Inputs'!$B$45*'2_Inputs'!$B$44,0)</f>
        <v>0</v>
      </c>
      <c r="E29" s="7">
        <f>IF(COLUMN()-1&gt;='2_Inputs'!$B$46,E28*'2_Inputs'!$B$45*'2_Inputs'!$B$44,0)</f>
        <v>0</v>
      </c>
      <c r="F29" s="7">
        <f>IF(COLUMN()-1&gt;='2_Inputs'!$B$46,F28*'2_Inputs'!$B$45*'2_Inputs'!$B$44,0)</f>
        <v>0</v>
      </c>
      <c r="G29" s="7">
        <f>IF(COLUMN()-1&gt;='2_Inputs'!$B$46,G28*'2_Inputs'!$B$45*'2_Inputs'!$B$44,0)</f>
        <v>0</v>
      </c>
      <c r="H29" s="7">
        <f>IF(COLUMN()-1&gt;='2_Inputs'!$B$46,H28*'2_Inputs'!$B$45*'2_Inputs'!$B$44,0)</f>
        <v>20</v>
      </c>
      <c r="I29" s="7">
        <f>IF(COLUMN()-1&gt;='2_Inputs'!$B$46,I28*'2_Inputs'!$B$45*'2_Inputs'!$B$44,0)</f>
        <v>0</v>
      </c>
      <c r="J29" s="7">
        <f>IF(COLUMN()-1&gt;='2_Inputs'!$B$46,J28*'2_Inputs'!$B$45*'2_Inputs'!$B$44,0)</f>
        <v>0</v>
      </c>
      <c r="K29" s="7">
        <f>IF(COLUMN()-1&gt;='2_Inputs'!$B$46,K28*'2_Inputs'!$B$45*'2_Inputs'!$B$44,0)</f>
        <v>0</v>
      </c>
      <c r="L29" s="7">
        <f>IF(COLUMN()-1&gt;='2_Inputs'!$B$46,L28*'2_Inputs'!$B$45*'2_Inputs'!$B$44,0)</f>
        <v>20</v>
      </c>
      <c r="M29" s="7">
        <f>IF(COLUMN()-1&gt;='2_Inputs'!$B$46,M28*'2_Inputs'!$B$45*'2_Inputs'!$B$44,0)</f>
        <v>0</v>
      </c>
      <c r="N29" s="7">
        <f>IF(COLUMN()-1&gt;='2_Inputs'!$B$46,N28*'2_Inputs'!$B$45*'2_Inputs'!$B$44,0)</f>
        <v>20</v>
      </c>
      <c r="O29" s="7">
        <f>IF(COLUMN()-1&gt;='2_Inputs'!$B$46,O28*'2_Inputs'!$B$45*'2_Inputs'!$B$44,0)</f>
        <v>0</v>
      </c>
      <c r="P29" s="7">
        <f>IF(COLUMN()-1&gt;='2_Inputs'!$B$46,P28*'2_Inputs'!$B$45*'2_Inputs'!$B$44,0)</f>
        <v>0</v>
      </c>
      <c r="Q29" s="7">
        <f>IF(COLUMN()-1&gt;='2_Inputs'!$B$46,Q28*'2_Inputs'!$B$45*'2_Inputs'!$B$44,0)</f>
        <v>0</v>
      </c>
      <c r="R29" s="7">
        <f>IF(COLUMN()-1&gt;='2_Inputs'!$B$46,R28*'2_Inputs'!$B$45*'2_Inputs'!$B$44,0)</f>
        <v>0</v>
      </c>
      <c r="S29" s="7">
        <f>IF(COLUMN()-1&gt;='2_Inputs'!$B$46,S28*'2_Inputs'!$B$45*'2_Inputs'!$B$44,0)</f>
        <v>40</v>
      </c>
      <c r="T29" s="7">
        <f>IF(COLUMN()-1&gt;='2_Inputs'!$B$46,T28*'2_Inputs'!$B$45*'2_Inputs'!$B$44,0)</f>
        <v>80</v>
      </c>
      <c r="U29" s="7">
        <f>IF(COLUMN()-1&gt;='2_Inputs'!$B$46,U28*'2_Inputs'!$B$45*'2_Inputs'!$B$44,0)</f>
        <v>40</v>
      </c>
      <c r="V29" s="7">
        <f>IF(COLUMN()-1&gt;='2_Inputs'!$B$46,V28*'2_Inputs'!$B$45*'2_Inputs'!$B$44,0)</f>
        <v>40</v>
      </c>
      <c r="W29" s="7">
        <f>IF(COLUMN()-1&gt;='2_Inputs'!$B$46,W28*'2_Inputs'!$B$45*'2_Inputs'!$B$44,0)</f>
        <v>0</v>
      </c>
      <c r="X29" s="7">
        <f>IF(COLUMN()-1&gt;='2_Inputs'!$B$46,X28*'2_Inputs'!$B$45*'2_Inputs'!$B$44,0)</f>
        <v>140</v>
      </c>
      <c r="Y29" s="7">
        <f>IF(COLUMN()-1&gt;='2_Inputs'!$B$46,Y28*'2_Inputs'!$B$45*'2_Inputs'!$B$44,0)</f>
        <v>20</v>
      </c>
      <c r="Z29" s="7">
        <f>IF(COLUMN()-1&gt;='2_Inputs'!$B$46,Z28*'2_Inputs'!$B$45*'2_Inputs'!$B$44,0)</f>
        <v>80</v>
      </c>
      <c r="AA29" s="7">
        <f>IF(COLUMN()-1&gt;='2_Inputs'!$B$46,AA28*'2_Inputs'!$B$45*'2_Inputs'!$B$44,0)</f>
        <v>80</v>
      </c>
      <c r="AB29" s="7">
        <f>IF(COLUMN()-1&gt;='2_Inputs'!$B$46,AB28*'2_Inputs'!$B$45*'2_Inputs'!$B$44,0)</f>
        <v>20</v>
      </c>
      <c r="AC29" s="7">
        <f>IF(COLUMN()-1&gt;='2_Inputs'!$B$46,AC28*'2_Inputs'!$B$45*'2_Inputs'!$B$44,0)</f>
        <v>0</v>
      </c>
      <c r="AD29" s="7">
        <f>IF(COLUMN()-1&gt;='2_Inputs'!$B$46,AD28*'2_Inputs'!$B$45*'2_Inputs'!$B$44,0)</f>
        <v>0</v>
      </c>
      <c r="AE29" s="7">
        <f>IF(COLUMN()-1&gt;='2_Inputs'!$B$46,AE28*'2_Inputs'!$B$45*'2_Inputs'!$B$44,0)</f>
        <v>100</v>
      </c>
      <c r="AF29" s="7">
        <f>IF(COLUMN()-1&gt;='2_Inputs'!$B$46,AF28*'2_Inputs'!$B$45*'2_Inputs'!$B$44,0)</f>
        <v>100</v>
      </c>
      <c r="AG29" s="7">
        <f>IF(COLUMN()-1&gt;='2_Inputs'!$B$46,AG28*'2_Inputs'!$B$45*'2_Inputs'!$B$44,0)</f>
        <v>80</v>
      </c>
      <c r="AH29" s="7">
        <f>IF(COLUMN()-1&gt;='2_Inputs'!$B$46,AH28*'2_Inputs'!$B$45*'2_Inputs'!$B$44,0)</f>
        <v>200</v>
      </c>
      <c r="AI29" s="7">
        <f>IF(COLUMN()-1&gt;='2_Inputs'!$B$46,AI28*'2_Inputs'!$B$45*'2_Inputs'!$B$44,0)</f>
        <v>0</v>
      </c>
      <c r="AJ29" s="7">
        <f>IF(COLUMN()-1&gt;='2_Inputs'!$B$46,AJ28*'2_Inputs'!$B$45*'2_Inputs'!$B$44,0)</f>
        <v>80</v>
      </c>
      <c r="AK29" s="7">
        <f>IF(COLUMN()-1&gt;='2_Inputs'!$B$46,AK28*'2_Inputs'!$B$45*'2_Inputs'!$B$44,0)</f>
        <v>60</v>
      </c>
      <c r="AL29" s="7">
        <f>IF(COLUMN()-1&gt;='2_Inputs'!$B$46,AL28*'2_Inputs'!$B$45*'2_Inputs'!$B$44,0)</f>
        <v>60</v>
      </c>
      <c r="AM29" s="7">
        <f>IF(COLUMN()-1&gt;='2_Inputs'!$B$46,AM28*'2_Inputs'!$B$45*'2_Inputs'!$B$44,0)</f>
        <v>180</v>
      </c>
      <c r="AN29" s="7">
        <f>IF(COLUMN()-1&gt;='2_Inputs'!$B$46,AN28*'2_Inputs'!$B$45*'2_Inputs'!$B$44,0)</f>
        <v>80</v>
      </c>
      <c r="AO29" s="7">
        <f>IF(COLUMN()-1&gt;='2_Inputs'!$B$46,AO28*'2_Inputs'!$B$45*'2_Inputs'!$B$44,0)</f>
        <v>120</v>
      </c>
      <c r="AP29" s="7">
        <f>IF(COLUMN()-1&gt;='2_Inputs'!$B$46,AP28*'2_Inputs'!$B$45*'2_Inputs'!$B$44,0)</f>
        <v>160</v>
      </c>
      <c r="AQ29" s="7">
        <f>IF(COLUMN()-1&gt;='2_Inputs'!$B$46,AQ28*'2_Inputs'!$B$45*'2_Inputs'!$B$44,0)</f>
        <v>240</v>
      </c>
      <c r="AR29" s="7">
        <f>IF(COLUMN()-1&gt;='2_Inputs'!$B$46,AR28*'2_Inputs'!$B$45*'2_Inputs'!$B$44,0)</f>
        <v>180</v>
      </c>
      <c r="AS29" s="7">
        <f>IF(COLUMN()-1&gt;='2_Inputs'!$B$46,AS28*'2_Inputs'!$B$45*'2_Inputs'!$B$44,0)</f>
        <v>160</v>
      </c>
      <c r="AT29" s="7">
        <f>IF(COLUMN()-1&gt;='2_Inputs'!$B$46,AT28*'2_Inputs'!$B$45*'2_Inputs'!$B$44,0)</f>
        <v>200</v>
      </c>
      <c r="AU29" s="7">
        <f>IF(COLUMN()-1&gt;='2_Inputs'!$B$46,AU28*'2_Inputs'!$B$45*'2_Inputs'!$B$44,0)</f>
        <v>180</v>
      </c>
      <c r="AV29" s="7">
        <f>IF(COLUMN()-1&gt;='2_Inputs'!$B$46,AV28*'2_Inputs'!$B$45*'2_Inputs'!$B$44,0)</f>
        <v>180</v>
      </c>
      <c r="AW29" s="7">
        <f>IF(COLUMN()-1&gt;='2_Inputs'!$B$46,AW28*'2_Inputs'!$B$45*'2_Inputs'!$B$44,0)</f>
        <v>140</v>
      </c>
      <c r="AX29" s="7">
        <f>IF(COLUMN()-1&gt;='2_Inputs'!$B$46,AX28*'2_Inputs'!$B$45*'2_Inputs'!$B$44,0)</f>
        <v>220</v>
      </c>
      <c r="AY29" s="7">
        <f>IF(COLUMN()-1&gt;='2_Inputs'!$B$46,AY28*'2_Inputs'!$B$45*'2_Inputs'!$B$44,0)</f>
        <v>260</v>
      </c>
      <c r="AZ29" s="7">
        <f>IF(COLUMN()-1&gt;='2_Inputs'!$B$46,AZ28*'2_Inputs'!$B$45*'2_Inputs'!$B$44,0)</f>
        <v>200</v>
      </c>
      <c r="BA29" s="7">
        <f>IF(COLUMN()-1&gt;='2_Inputs'!$B$46,BA28*'2_Inputs'!$B$45*'2_Inputs'!$B$44,0)</f>
        <v>200</v>
      </c>
    </row>
    <row r="30" ht="14.25" customHeight="1">
      <c r="A30" s="120" t="s">
        <v>640</v>
      </c>
      <c r="B30" s="121">
        <f>B29*'2_Inputs'!$B$43</f>
        <v>0</v>
      </c>
      <c r="C30" s="7">
        <f>C29*'2_Inputs'!$B$43</f>
        <v>0</v>
      </c>
      <c r="D30" s="7">
        <f>D29*'2_Inputs'!$B$43</f>
        <v>0</v>
      </c>
      <c r="E30" s="7">
        <f>E29*'2_Inputs'!$B$43</f>
        <v>0</v>
      </c>
      <c r="F30" s="7">
        <f>F29*'2_Inputs'!$B$43</f>
        <v>0</v>
      </c>
      <c r="G30" s="7">
        <f>G29*'2_Inputs'!$B$43</f>
        <v>0</v>
      </c>
      <c r="H30" s="7">
        <f>H29*'2_Inputs'!$B$43</f>
        <v>30000</v>
      </c>
      <c r="I30" s="7">
        <f>I29*'2_Inputs'!$B$43</f>
        <v>0</v>
      </c>
      <c r="J30" s="7">
        <f>J29*'2_Inputs'!$B$43</f>
        <v>0</v>
      </c>
      <c r="K30" s="7">
        <f>K29*'2_Inputs'!$B$43</f>
        <v>0</v>
      </c>
      <c r="L30" s="7">
        <f>L29*'2_Inputs'!$B$43</f>
        <v>30000</v>
      </c>
      <c r="M30" s="7">
        <f>M29*'2_Inputs'!$B$43</f>
        <v>0</v>
      </c>
      <c r="N30" s="7">
        <f>N29*'2_Inputs'!$B$43</f>
        <v>30000</v>
      </c>
      <c r="O30" s="7">
        <f>O29*'2_Inputs'!$B$43</f>
        <v>0</v>
      </c>
      <c r="P30" s="7">
        <f>P29*'2_Inputs'!$B$43</f>
        <v>0</v>
      </c>
      <c r="Q30" s="7">
        <f>Q29*'2_Inputs'!$B$43</f>
        <v>0</v>
      </c>
      <c r="R30" s="7">
        <f>R29*'2_Inputs'!$B$43</f>
        <v>0</v>
      </c>
      <c r="S30" s="7">
        <f>S29*'2_Inputs'!$B$43</f>
        <v>60000</v>
      </c>
      <c r="T30" s="7">
        <f>T29*'2_Inputs'!$B$43</f>
        <v>120000</v>
      </c>
      <c r="U30" s="7">
        <f>U29*'2_Inputs'!$B$43</f>
        <v>60000</v>
      </c>
      <c r="V30" s="7">
        <f>V29*'2_Inputs'!$B$43</f>
        <v>60000</v>
      </c>
      <c r="W30" s="7">
        <f>W29*'2_Inputs'!$B$43</f>
        <v>0</v>
      </c>
      <c r="X30" s="7">
        <f>X29*'2_Inputs'!$B$43</f>
        <v>210000</v>
      </c>
      <c r="Y30" s="7">
        <f>Y29*'2_Inputs'!$B$43</f>
        <v>30000</v>
      </c>
      <c r="Z30" s="7">
        <f>Z29*'2_Inputs'!$B$43</f>
        <v>120000</v>
      </c>
      <c r="AA30" s="7">
        <f>AA29*'2_Inputs'!$B$43</f>
        <v>120000</v>
      </c>
      <c r="AB30" s="7">
        <f>AB29*'2_Inputs'!$B$43</f>
        <v>30000</v>
      </c>
      <c r="AC30" s="7">
        <f>AC29*'2_Inputs'!$B$43</f>
        <v>0</v>
      </c>
      <c r="AD30" s="7">
        <f>AD29*'2_Inputs'!$B$43</f>
        <v>0</v>
      </c>
      <c r="AE30" s="7">
        <f>AE29*'2_Inputs'!$B$43</f>
        <v>150000</v>
      </c>
      <c r="AF30" s="7">
        <f>AF29*'2_Inputs'!$B$43</f>
        <v>150000</v>
      </c>
      <c r="AG30" s="7">
        <f>AG29*'2_Inputs'!$B$43</f>
        <v>120000</v>
      </c>
      <c r="AH30" s="7">
        <f>AH29*'2_Inputs'!$B$43</f>
        <v>300000</v>
      </c>
      <c r="AI30" s="7">
        <f>AI29*'2_Inputs'!$B$43</f>
        <v>0</v>
      </c>
      <c r="AJ30" s="7">
        <f>AJ29*'2_Inputs'!$B$43</f>
        <v>120000</v>
      </c>
      <c r="AK30" s="7">
        <f>AK29*'2_Inputs'!$B$43</f>
        <v>90000</v>
      </c>
      <c r="AL30" s="7">
        <f>AL29*'2_Inputs'!$B$43</f>
        <v>90000</v>
      </c>
      <c r="AM30" s="7">
        <f>AM29*'2_Inputs'!$B$43</f>
        <v>270000</v>
      </c>
      <c r="AN30" s="7">
        <f>AN29*'2_Inputs'!$B$43</f>
        <v>120000</v>
      </c>
      <c r="AO30" s="7">
        <f>AO29*'2_Inputs'!$B$43</f>
        <v>180000</v>
      </c>
      <c r="AP30" s="7">
        <f>AP29*'2_Inputs'!$B$43</f>
        <v>240000</v>
      </c>
      <c r="AQ30" s="7">
        <f>AQ29*'2_Inputs'!$B$43</f>
        <v>360000</v>
      </c>
      <c r="AR30" s="7">
        <f>AR29*'2_Inputs'!$B$43</f>
        <v>270000</v>
      </c>
      <c r="AS30" s="7">
        <f>AS29*'2_Inputs'!$B$43</f>
        <v>240000</v>
      </c>
      <c r="AT30" s="7">
        <f>AT29*'2_Inputs'!$B$43</f>
        <v>300000</v>
      </c>
      <c r="AU30" s="7">
        <f>AU29*'2_Inputs'!$B$43</f>
        <v>270000</v>
      </c>
      <c r="AV30" s="7">
        <f>AV29*'2_Inputs'!$B$43</f>
        <v>270000</v>
      </c>
      <c r="AW30" s="7">
        <f>AW29*'2_Inputs'!$B$43</f>
        <v>210000</v>
      </c>
      <c r="AX30" s="7">
        <f>AX29*'2_Inputs'!$B$43</f>
        <v>330000</v>
      </c>
      <c r="AY30" s="7">
        <f>AY29*'2_Inputs'!$B$43</f>
        <v>390000</v>
      </c>
      <c r="AZ30" s="7">
        <f>AZ29*'2_Inputs'!$B$43</f>
        <v>300000</v>
      </c>
      <c r="BA30" s="7">
        <f>BA29*'2_Inputs'!$B$43</f>
        <v>300000</v>
      </c>
    </row>
    <row r="31" ht="14.25" customHeight="1">
      <c r="A31" s="153" t="s">
        <v>641</v>
      </c>
    </row>
    <row r="32" ht="14.25" customHeight="1">
      <c r="A32" s="162" t="s">
        <v>642</v>
      </c>
      <c r="B32" s="163">
        <f t="shared" ref="B32:BA32" si="10">B25+B30</f>
        <v>0</v>
      </c>
      <c r="C32" s="59">
        <f t="shared" si="10"/>
        <v>0</v>
      </c>
      <c r="D32" s="59">
        <f t="shared" si="10"/>
        <v>0</v>
      </c>
      <c r="E32" s="59">
        <f t="shared" si="10"/>
        <v>0</v>
      </c>
      <c r="F32" s="59">
        <f t="shared" si="10"/>
        <v>0</v>
      </c>
      <c r="G32" s="59">
        <f t="shared" si="10"/>
        <v>0</v>
      </c>
      <c r="H32" s="59">
        <f t="shared" si="10"/>
        <v>32760</v>
      </c>
      <c r="I32" s="59">
        <f t="shared" si="10"/>
        <v>2760</v>
      </c>
      <c r="J32" s="59">
        <f t="shared" si="10"/>
        <v>2760</v>
      </c>
      <c r="K32" s="59">
        <f t="shared" si="10"/>
        <v>2760</v>
      </c>
      <c r="L32" s="59">
        <f t="shared" si="10"/>
        <v>35520</v>
      </c>
      <c r="M32" s="59">
        <f t="shared" si="10"/>
        <v>5520</v>
      </c>
      <c r="N32" s="59">
        <f t="shared" si="10"/>
        <v>38611.2</v>
      </c>
      <c r="O32" s="59">
        <f t="shared" si="10"/>
        <v>8611.2</v>
      </c>
      <c r="P32" s="59">
        <f t="shared" si="10"/>
        <v>8611.2</v>
      </c>
      <c r="Q32" s="59">
        <f t="shared" si="10"/>
        <v>8611.2</v>
      </c>
      <c r="R32" s="59">
        <f t="shared" si="10"/>
        <v>8611.2</v>
      </c>
      <c r="S32" s="59">
        <f t="shared" si="10"/>
        <v>81840</v>
      </c>
      <c r="T32" s="59">
        <f t="shared" si="10"/>
        <v>160809.6</v>
      </c>
      <c r="U32" s="59">
        <f t="shared" si="10"/>
        <v>106550.4</v>
      </c>
      <c r="V32" s="59">
        <f t="shared" si="10"/>
        <v>119779.2</v>
      </c>
      <c r="W32" s="59">
        <f t="shared" si="10"/>
        <v>59779.2</v>
      </c>
      <c r="X32" s="59">
        <f t="shared" si="10"/>
        <v>304848</v>
      </c>
      <c r="Y32" s="59">
        <f t="shared" si="10"/>
        <v>128630.1333</v>
      </c>
      <c r="Z32" s="59">
        <f t="shared" si="10"/>
        <v>250091.2427</v>
      </c>
      <c r="AA32" s="59">
        <f t="shared" si="10"/>
        <v>265352.6187</v>
      </c>
      <c r="AB32" s="59">
        <f t="shared" si="10"/>
        <v>179286.0373</v>
      </c>
      <c r="AC32" s="59">
        <f t="shared" si="10"/>
        <v>148712.7893</v>
      </c>
      <c r="AD32" s="59">
        <f t="shared" si="10"/>
        <v>148139.5413</v>
      </c>
      <c r="AE32" s="59">
        <f t="shared" si="10"/>
        <v>329588.864</v>
      </c>
      <c r="AF32" s="59">
        <f t="shared" si="10"/>
        <v>343941.696</v>
      </c>
      <c r="AG32" s="59">
        <f t="shared" si="10"/>
        <v>340884.352</v>
      </c>
      <c r="AH32" s="59">
        <f t="shared" si="10"/>
        <v>571153.5147</v>
      </c>
      <c r="AI32" s="59">
        <f t="shared" si="10"/>
        <v>270082.7307</v>
      </c>
      <c r="AJ32" s="59">
        <f t="shared" si="10"/>
        <v>416527.8507</v>
      </c>
      <c r="AK32" s="59">
        <f t="shared" si="10"/>
        <v>395360.9173</v>
      </c>
      <c r="AL32" s="59">
        <f t="shared" si="10"/>
        <v>415179.4347</v>
      </c>
      <c r="AM32" s="59">
        <f t="shared" si="10"/>
        <v>645708.3255</v>
      </c>
      <c r="AN32" s="59">
        <f t="shared" si="10"/>
        <v>522615.0724</v>
      </c>
      <c r="AO32" s="59">
        <f t="shared" si="10"/>
        <v>611681.5582</v>
      </c>
      <c r="AP32" s="59">
        <f t="shared" si="10"/>
        <v>711006.8036</v>
      </c>
      <c r="AQ32" s="59">
        <f t="shared" si="10"/>
        <v>889964.6754</v>
      </c>
      <c r="AR32" s="59">
        <f t="shared" si="10"/>
        <v>837748.8572</v>
      </c>
      <c r="AS32" s="59">
        <f t="shared" si="10"/>
        <v>842428.4143</v>
      </c>
      <c r="AT32" s="59">
        <f t="shared" si="10"/>
        <v>952998.5502</v>
      </c>
      <c r="AU32" s="59">
        <f t="shared" si="10"/>
        <v>964832.2423</v>
      </c>
      <c r="AV32" s="59">
        <f t="shared" si="10"/>
        <v>1010715.445</v>
      </c>
      <c r="AW32" s="59">
        <f t="shared" si="10"/>
        <v>982759.0707</v>
      </c>
      <c r="AX32" s="59">
        <f t="shared" si="10"/>
        <v>1186687.423</v>
      </c>
      <c r="AY32" s="59">
        <f t="shared" si="10"/>
        <v>1303597.143</v>
      </c>
      <c r="AZ32" s="59">
        <f t="shared" si="10"/>
        <v>1260820.433</v>
      </c>
      <c r="BA32" s="59">
        <f t="shared" si="10"/>
        <v>1310609.614</v>
      </c>
    </row>
    <row r="33" ht="14.25" customHeight="1">
      <c r="A33" s="80" t="s">
        <v>643</v>
      </c>
      <c r="B33" s="164">
        <f>IFERROR((B25-0)/1,0)</f>
        <v>0</v>
      </c>
      <c r="C33" s="158">
        <f t="shared" ref="C33:BA33" si="11">IFERROR((C25-B25)/B25,0)</f>
        <v>0</v>
      </c>
      <c r="D33" s="158">
        <f t="shared" si="11"/>
        <v>0</v>
      </c>
      <c r="E33" s="158">
        <f t="shared" si="11"/>
        <v>0</v>
      </c>
      <c r="F33" s="158">
        <f t="shared" si="11"/>
        <v>0</v>
      </c>
      <c r="G33" s="158">
        <f t="shared" si="11"/>
        <v>0</v>
      </c>
      <c r="H33" s="158">
        <f t="shared" si="11"/>
        <v>0</v>
      </c>
      <c r="I33" s="158">
        <f t="shared" si="11"/>
        <v>0</v>
      </c>
      <c r="J33" s="158">
        <f t="shared" si="11"/>
        <v>0</v>
      </c>
      <c r="K33" s="158">
        <f t="shared" si="11"/>
        <v>0</v>
      </c>
      <c r="L33" s="158">
        <f t="shared" si="11"/>
        <v>1</v>
      </c>
      <c r="M33" s="158">
        <f t="shared" si="11"/>
        <v>0</v>
      </c>
      <c r="N33" s="158">
        <f t="shared" si="11"/>
        <v>0.56</v>
      </c>
      <c r="O33" s="158">
        <f t="shared" si="11"/>
        <v>0</v>
      </c>
      <c r="P33" s="158">
        <f t="shared" si="11"/>
        <v>0</v>
      </c>
      <c r="Q33" s="158">
        <f t="shared" si="11"/>
        <v>0</v>
      </c>
      <c r="R33" s="158">
        <f t="shared" si="11"/>
        <v>0</v>
      </c>
      <c r="S33" s="158">
        <f t="shared" si="11"/>
        <v>1.536231884</v>
      </c>
      <c r="T33" s="158">
        <f t="shared" si="11"/>
        <v>0.8685714286</v>
      </c>
      <c r="U33" s="158">
        <f t="shared" si="11"/>
        <v>0.1406727829</v>
      </c>
      <c r="V33" s="158">
        <f t="shared" si="11"/>
        <v>0.2841823056</v>
      </c>
      <c r="W33" s="158">
        <f t="shared" si="11"/>
        <v>0</v>
      </c>
      <c r="X33" s="158">
        <f t="shared" si="11"/>
        <v>0.5866388309</v>
      </c>
      <c r="Y33" s="158">
        <f t="shared" si="11"/>
        <v>0.03987573099</v>
      </c>
      <c r="Z33" s="158">
        <f t="shared" si="11"/>
        <v>0.3189807037</v>
      </c>
      <c r="AA33" s="158">
        <f t="shared" si="11"/>
        <v>0.117312862</v>
      </c>
      <c r="AB33" s="158">
        <f t="shared" si="11"/>
        <v>0.02706121639</v>
      </c>
      <c r="AC33" s="158">
        <f t="shared" si="11"/>
        <v>-0.003839930447</v>
      </c>
      <c r="AD33" s="158">
        <f t="shared" si="11"/>
        <v>-0.003854732351</v>
      </c>
      <c r="AE33" s="158">
        <f t="shared" si="11"/>
        <v>0.2122952615</v>
      </c>
      <c r="AF33" s="158">
        <f t="shared" si="11"/>
        <v>0.07992050108</v>
      </c>
      <c r="AG33" s="158">
        <f t="shared" si="11"/>
        <v>0.138921421</v>
      </c>
      <c r="AH33" s="158">
        <f t="shared" si="11"/>
        <v>0.2275813665</v>
      </c>
      <c r="AI33" s="158">
        <f t="shared" si="11"/>
        <v>-0.003948995466</v>
      </c>
      <c r="AJ33" s="158">
        <f t="shared" si="11"/>
        <v>0.0979148868</v>
      </c>
      <c r="AK33" s="158">
        <f t="shared" si="11"/>
        <v>0.02978832055</v>
      </c>
      <c r="AL33" s="158">
        <f t="shared" si="11"/>
        <v>0.06490194458</v>
      </c>
      <c r="AM33" s="158">
        <f t="shared" si="11"/>
        <v>0.1553877198</v>
      </c>
      <c r="AN33" s="158">
        <f t="shared" si="11"/>
        <v>0.07161605174</v>
      </c>
      <c r="AO33" s="158">
        <f t="shared" si="11"/>
        <v>0.07219423154</v>
      </c>
      <c r="AP33" s="158">
        <f t="shared" si="11"/>
        <v>0.09109781202</v>
      </c>
      <c r="AQ33" s="158">
        <f t="shared" si="11"/>
        <v>0.1251741404</v>
      </c>
      <c r="AR33" s="158">
        <f t="shared" si="11"/>
        <v>0.07129566085</v>
      </c>
      <c r="AS33" s="158">
        <f t="shared" si="11"/>
        <v>0.06108256614</v>
      </c>
      <c r="AT33" s="158">
        <f t="shared" si="11"/>
        <v>0.08394380925</v>
      </c>
      <c r="AU33" s="158">
        <f t="shared" si="11"/>
        <v>0.06406398934</v>
      </c>
      <c r="AV33" s="158">
        <f t="shared" si="11"/>
        <v>0.06603493586</v>
      </c>
      <c r="AW33" s="158">
        <f t="shared" si="11"/>
        <v>0.04326037216</v>
      </c>
      <c r="AX33" s="158">
        <f t="shared" si="11"/>
        <v>0.1086086931</v>
      </c>
      <c r="AY33" s="158">
        <f t="shared" si="11"/>
        <v>0.0664299695</v>
      </c>
      <c r="AZ33" s="158">
        <f t="shared" si="11"/>
        <v>0.05168940261</v>
      </c>
      <c r="BA33" s="158">
        <f t="shared" si="11"/>
        <v>0.05181944366</v>
      </c>
    </row>
    <row r="34" ht="14.25" customHeight="1">
      <c r="A34" s="159" t="s">
        <v>644</v>
      </c>
      <c r="B34" s="160">
        <f t="shared" ref="B34:BA34" si="12">B32*12</f>
        <v>0</v>
      </c>
      <c r="C34" s="59">
        <f t="shared" si="12"/>
        <v>0</v>
      </c>
      <c r="D34" s="59">
        <f t="shared" si="12"/>
        <v>0</v>
      </c>
      <c r="E34" s="59">
        <f t="shared" si="12"/>
        <v>0</v>
      </c>
      <c r="F34" s="59">
        <f t="shared" si="12"/>
        <v>0</v>
      </c>
      <c r="G34" s="59">
        <f t="shared" si="12"/>
        <v>0</v>
      </c>
      <c r="H34" s="59">
        <f t="shared" si="12"/>
        <v>393120</v>
      </c>
      <c r="I34" s="59">
        <f t="shared" si="12"/>
        <v>33120</v>
      </c>
      <c r="J34" s="59">
        <f t="shared" si="12"/>
        <v>33120</v>
      </c>
      <c r="K34" s="59">
        <f t="shared" si="12"/>
        <v>33120</v>
      </c>
      <c r="L34" s="59">
        <f t="shared" si="12"/>
        <v>426240</v>
      </c>
      <c r="M34" s="59">
        <f t="shared" si="12"/>
        <v>66240</v>
      </c>
      <c r="N34" s="59">
        <f t="shared" si="12"/>
        <v>463334.4</v>
      </c>
      <c r="O34" s="59">
        <f t="shared" si="12"/>
        <v>103334.4</v>
      </c>
      <c r="P34" s="59">
        <f t="shared" si="12"/>
        <v>103334.4</v>
      </c>
      <c r="Q34" s="59">
        <f t="shared" si="12"/>
        <v>103334.4</v>
      </c>
      <c r="R34" s="59">
        <f t="shared" si="12"/>
        <v>103334.4</v>
      </c>
      <c r="S34" s="59">
        <f t="shared" si="12"/>
        <v>982080</v>
      </c>
      <c r="T34" s="59">
        <f t="shared" si="12"/>
        <v>1929715.2</v>
      </c>
      <c r="U34" s="59">
        <f t="shared" si="12"/>
        <v>1278604.8</v>
      </c>
      <c r="V34" s="59">
        <f t="shared" si="12"/>
        <v>1437350.4</v>
      </c>
      <c r="W34" s="59">
        <f t="shared" si="12"/>
        <v>717350.4</v>
      </c>
      <c r="X34" s="59">
        <f t="shared" si="12"/>
        <v>3658176</v>
      </c>
      <c r="Y34" s="59">
        <f t="shared" si="12"/>
        <v>1543561.6</v>
      </c>
      <c r="Z34" s="59">
        <f t="shared" si="12"/>
        <v>3001094.912</v>
      </c>
      <c r="AA34" s="59">
        <f t="shared" si="12"/>
        <v>3184231.424</v>
      </c>
      <c r="AB34" s="59">
        <f t="shared" si="12"/>
        <v>2151432.448</v>
      </c>
      <c r="AC34" s="59">
        <f t="shared" si="12"/>
        <v>1784553.472</v>
      </c>
      <c r="AD34" s="59">
        <f t="shared" si="12"/>
        <v>1777674.496</v>
      </c>
      <c r="AE34" s="59">
        <f t="shared" si="12"/>
        <v>3955066.368</v>
      </c>
      <c r="AF34" s="59">
        <f t="shared" si="12"/>
        <v>4127300.352</v>
      </c>
      <c r="AG34" s="59">
        <f t="shared" si="12"/>
        <v>4090612.224</v>
      </c>
      <c r="AH34" s="59">
        <f t="shared" si="12"/>
        <v>6853842.176</v>
      </c>
      <c r="AI34" s="59">
        <f t="shared" si="12"/>
        <v>3240992.768</v>
      </c>
      <c r="AJ34" s="59">
        <f t="shared" si="12"/>
        <v>4998334.208</v>
      </c>
      <c r="AK34" s="59">
        <f t="shared" si="12"/>
        <v>4744331.008</v>
      </c>
      <c r="AL34" s="59">
        <f t="shared" si="12"/>
        <v>4982153.216</v>
      </c>
      <c r="AM34" s="59">
        <f t="shared" si="12"/>
        <v>7748499.907</v>
      </c>
      <c r="AN34" s="59">
        <f t="shared" si="12"/>
        <v>6271380.869</v>
      </c>
      <c r="AO34" s="59">
        <f t="shared" si="12"/>
        <v>7340178.698</v>
      </c>
      <c r="AP34" s="59">
        <f t="shared" si="12"/>
        <v>8532081.644</v>
      </c>
      <c r="AQ34" s="59">
        <f t="shared" si="12"/>
        <v>10679576.1</v>
      </c>
      <c r="AR34" s="59">
        <f t="shared" si="12"/>
        <v>10052986.29</v>
      </c>
      <c r="AS34" s="59">
        <f t="shared" si="12"/>
        <v>10109140.97</v>
      </c>
      <c r="AT34" s="59">
        <f t="shared" si="12"/>
        <v>11435982.6</v>
      </c>
      <c r="AU34" s="59">
        <f t="shared" si="12"/>
        <v>11577986.91</v>
      </c>
      <c r="AV34" s="59">
        <f t="shared" si="12"/>
        <v>12128585.34</v>
      </c>
      <c r="AW34" s="59">
        <f t="shared" si="12"/>
        <v>11793108.85</v>
      </c>
      <c r="AX34" s="59">
        <f t="shared" si="12"/>
        <v>14240249.08</v>
      </c>
      <c r="AY34" s="59">
        <f t="shared" si="12"/>
        <v>15643165.71</v>
      </c>
      <c r="AZ34" s="59">
        <f t="shared" si="12"/>
        <v>15129845.2</v>
      </c>
      <c r="BA34" s="59">
        <f t="shared" si="12"/>
        <v>15727315.37</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43"/>
    <col customWidth="1" min="2" max="53" width="10.71"/>
  </cols>
  <sheetData>
    <row r="1" ht="14.25" customHeight="1">
      <c r="A1" s="151" t="s">
        <v>645</v>
      </c>
      <c r="AP1" s="65" t="s">
        <v>562</v>
      </c>
      <c r="AQ1" s="65"/>
      <c r="AR1" s="65" t="s">
        <v>563</v>
      </c>
      <c r="AS1" s="65"/>
      <c r="AT1" s="65"/>
      <c r="AU1" s="65"/>
      <c r="AV1" s="65"/>
      <c r="AW1" s="65"/>
      <c r="AX1" s="65"/>
      <c r="AY1" s="65"/>
      <c r="AZ1" s="65"/>
      <c r="BA1" s="65"/>
    </row>
    <row r="2" ht="14.25" customHeight="1">
      <c r="A2" s="6" t="s">
        <v>147</v>
      </c>
      <c r="B2" s="152" t="s">
        <v>564</v>
      </c>
      <c r="C2" s="152" t="s">
        <v>565</v>
      </c>
      <c r="D2" s="152" t="s">
        <v>566</v>
      </c>
      <c r="E2" s="152" t="s">
        <v>567</v>
      </c>
      <c r="F2" s="152" t="s">
        <v>568</v>
      </c>
      <c r="G2" s="152" t="s">
        <v>569</v>
      </c>
      <c r="H2" s="152" t="s">
        <v>570</v>
      </c>
      <c r="I2" s="152" t="s">
        <v>571</v>
      </c>
      <c r="J2" s="152" t="s">
        <v>572</v>
      </c>
      <c r="K2" s="152" t="s">
        <v>573</v>
      </c>
      <c r="L2" s="152" t="s">
        <v>574</v>
      </c>
      <c r="M2" s="152" t="s">
        <v>575</v>
      </c>
      <c r="N2" s="152" t="s">
        <v>576</v>
      </c>
      <c r="O2" s="152" t="s">
        <v>577</v>
      </c>
      <c r="P2" s="152" t="s">
        <v>578</v>
      </c>
      <c r="Q2" s="152" t="s">
        <v>579</v>
      </c>
      <c r="R2" s="152" t="s">
        <v>580</v>
      </c>
      <c r="S2" s="152" t="s">
        <v>581</v>
      </c>
      <c r="T2" s="152" t="s">
        <v>582</v>
      </c>
      <c r="U2" s="152" t="s">
        <v>583</v>
      </c>
      <c r="V2" s="152" t="s">
        <v>584</v>
      </c>
      <c r="W2" s="152" t="s">
        <v>585</v>
      </c>
      <c r="X2" s="152" t="s">
        <v>586</v>
      </c>
      <c r="Y2" s="152" t="s">
        <v>587</v>
      </c>
      <c r="Z2" s="152" t="s">
        <v>588</v>
      </c>
      <c r="AA2" s="152" t="s">
        <v>589</v>
      </c>
      <c r="AB2" s="152" t="s">
        <v>590</v>
      </c>
      <c r="AC2" s="152" t="s">
        <v>591</v>
      </c>
      <c r="AD2" s="152" t="s">
        <v>592</v>
      </c>
      <c r="AE2" s="152" t="s">
        <v>593</v>
      </c>
      <c r="AF2" s="152" t="s">
        <v>594</v>
      </c>
      <c r="AG2" s="152" t="s">
        <v>595</v>
      </c>
      <c r="AH2" s="152" t="s">
        <v>596</v>
      </c>
      <c r="AI2" s="152" t="s">
        <v>597</v>
      </c>
      <c r="AJ2" s="152" t="s">
        <v>598</v>
      </c>
      <c r="AK2" s="152" t="s">
        <v>599</v>
      </c>
      <c r="AL2" s="152" t="s">
        <v>600</v>
      </c>
      <c r="AM2" s="152" t="s">
        <v>601</v>
      </c>
      <c r="AN2" s="152" t="s">
        <v>602</v>
      </c>
      <c r="AO2" s="152" t="s">
        <v>603</v>
      </c>
      <c r="AP2" s="152" t="s">
        <v>604</v>
      </c>
      <c r="AQ2" s="152" t="s">
        <v>605</v>
      </c>
      <c r="AR2" s="152" t="s">
        <v>606</v>
      </c>
      <c r="AS2" s="152" t="s">
        <v>607</v>
      </c>
      <c r="AT2" s="152" t="s">
        <v>608</v>
      </c>
      <c r="AU2" s="152" t="s">
        <v>609</v>
      </c>
      <c r="AV2" s="152" t="s">
        <v>610</v>
      </c>
      <c r="AW2" s="152" t="s">
        <v>611</v>
      </c>
      <c r="AX2" s="152" t="s">
        <v>612</v>
      </c>
      <c r="AY2" s="152" t="s">
        <v>613</v>
      </c>
      <c r="AZ2" s="152" t="s">
        <v>614</v>
      </c>
      <c r="BA2" s="152" t="s">
        <v>615</v>
      </c>
    </row>
    <row r="3" ht="14.25" customHeight="1">
      <c r="A3" s="7" t="s">
        <v>616</v>
      </c>
      <c r="B3" s="8" t="s">
        <v>519</v>
      </c>
      <c r="C3" s="8" t="s">
        <v>519</v>
      </c>
      <c r="D3" s="8" t="s">
        <v>519</v>
      </c>
      <c r="E3" s="8" t="s">
        <v>519</v>
      </c>
      <c r="F3" s="8" t="s">
        <v>501</v>
      </c>
      <c r="G3" s="8" t="s">
        <v>501</v>
      </c>
      <c r="H3" s="8" t="s">
        <v>501</v>
      </c>
      <c r="I3" s="8" t="s">
        <v>501</v>
      </c>
      <c r="J3" s="8" t="s">
        <v>501</v>
      </c>
      <c r="K3" s="8" t="s">
        <v>501</v>
      </c>
      <c r="L3" s="8" t="s">
        <v>501</v>
      </c>
      <c r="M3" s="8" t="s">
        <v>501</v>
      </c>
      <c r="N3" s="8" t="s">
        <v>501</v>
      </c>
      <c r="O3" s="8" t="s">
        <v>501</v>
      </c>
      <c r="P3" s="8" t="s">
        <v>501</v>
      </c>
      <c r="Q3" s="8" t="s">
        <v>501</v>
      </c>
      <c r="R3" s="8" t="s">
        <v>502</v>
      </c>
      <c r="S3" s="8" t="s">
        <v>502</v>
      </c>
      <c r="T3" s="8" t="s">
        <v>502</v>
      </c>
      <c r="U3" s="8" t="s">
        <v>502</v>
      </c>
      <c r="V3" s="8" t="s">
        <v>502</v>
      </c>
      <c r="W3" s="8" t="s">
        <v>502</v>
      </c>
      <c r="X3" s="8" t="s">
        <v>502</v>
      </c>
      <c r="Y3" s="8" t="s">
        <v>502</v>
      </c>
      <c r="Z3" s="8" t="s">
        <v>502</v>
      </c>
      <c r="AA3" s="8" t="s">
        <v>502</v>
      </c>
      <c r="AB3" s="8" t="s">
        <v>502</v>
      </c>
      <c r="AC3" s="8" t="s">
        <v>502</v>
      </c>
      <c r="AD3" s="8" t="s">
        <v>503</v>
      </c>
      <c r="AE3" s="8" t="s">
        <v>503</v>
      </c>
      <c r="AF3" s="8" t="s">
        <v>503</v>
      </c>
      <c r="AG3" s="8" t="s">
        <v>503</v>
      </c>
      <c r="AH3" s="8" t="s">
        <v>503</v>
      </c>
      <c r="AI3" s="8" t="s">
        <v>503</v>
      </c>
      <c r="AJ3" s="8" t="s">
        <v>503</v>
      </c>
      <c r="AK3" s="8" t="s">
        <v>503</v>
      </c>
      <c r="AL3" s="8" t="s">
        <v>503</v>
      </c>
      <c r="AM3" s="8" t="s">
        <v>503</v>
      </c>
      <c r="AN3" s="8" t="s">
        <v>503</v>
      </c>
      <c r="AO3" s="8" t="s">
        <v>503</v>
      </c>
      <c r="AP3" s="8" t="s">
        <v>504</v>
      </c>
      <c r="AQ3" s="8" t="s">
        <v>504</v>
      </c>
      <c r="AR3" s="8" t="s">
        <v>504</v>
      </c>
      <c r="AS3" s="8" t="s">
        <v>504</v>
      </c>
      <c r="AT3" s="8" t="s">
        <v>504</v>
      </c>
      <c r="AU3" s="8" t="s">
        <v>504</v>
      </c>
      <c r="AV3" s="8" t="s">
        <v>504</v>
      </c>
      <c r="AW3" s="8" t="s">
        <v>504</v>
      </c>
      <c r="AX3" s="8" t="s">
        <v>504</v>
      </c>
      <c r="AY3" s="8" t="s">
        <v>504</v>
      </c>
      <c r="AZ3" s="8" t="s">
        <v>504</v>
      </c>
      <c r="BA3" s="8" t="s">
        <v>504</v>
      </c>
    </row>
    <row r="4" ht="14.25" customHeight="1">
      <c r="A4" s="6" t="s">
        <v>553</v>
      </c>
      <c r="B4" s="6" t="s">
        <v>564</v>
      </c>
      <c r="C4" s="6" t="s">
        <v>565</v>
      </c>
      <c r="D4" s="6" t="s">
        <v>566</v>
      </c>
      <c r="E4" s="6" t="s">
        <v>567</v>
      </c>
      <c r="F4" s="6" t="s">
        <v>568</v>
      </c>
      <c r="G4" s="6" t="s">
        <v>569</v>
      </c>
      <c r="H4" s="6" t="s">
        <v>570</v>
      </c>
      <c r="I4" s="6" t="s">
        <v>571</v>
      </c>
      <c r="J4" s="6" t="s">
        <v>572</v>
      </c>
      <c r="K4" s="6" t="s">
        <v>573</v>
      </c>
      <c r="L4" s="6" t="s">
        <v>574</v>
      </c>
      <c r="M4" s="6" t="s">
        <v>575</v>
      </c>
      <c r="N4" s="6" t="s">
        <v>576</v>
      </c>
      <c r="O4" s="6" t="s">
        <v>577</v>
      </c>
      <c r="P4" s="6" t="s">
        <v>578</v>
      </c>
      <c r="Q4" s="6" t="s">
        <v>579</v>
      </c>
      <c r="R4" s="6" t="s">
        <v>580</v>
      </c>
      <c r="S4" s="6" t="s">
        <v>581</v>
      </c>
      <c r="T4" s="6" t="s">
        <v>582</v>
      </c>
      <c r="U4" s="6" t="s">
        <v>583</v>
      </c>
      <c r="V4" s="6" t="s">
        <v>584</v>
      </c>
      <c r="W4" s="6" t="s">
        <v>585</v>
      </c>
      <c r="X4" s="6" t="s">
        <v>586</v>
      </c>
      <c r="Y4" s="6" t="s">
        <v>587</v>
      </c>
      <c r="Z4" s="6" t="s">
        <v>588</v>
      </c>
      <c r="AA4" s="6" t="s">
        <v>589</v>
      </c>
      <c r="AB4" s="6" t="s">
        <v>590</v>
      </c>
      <c r="AC4" s="6" t="s">
        <v>591</v>
      </c>
      <c r="AD4" s="6" t="s">
        <v>592</v>
      </c>
      <c r="AE4" s="6" t="s">
        <v>593</v>
      </c>
      <c r="AF4" s="6" t="s">
        <v>594</v>
      </c>
      <c r="AG4" s="6" t="s">
        <v>595</v>
      </c>
      <c r="AH4" s="6" t="s">
        <v>596</v>
      </c>
      <c r="AI4" s="6" t="s">
        <v>597</v>
      </c>
      <c r="AJ4" s="6" t="s">
        <v>598</v>
      </c>
      <c r="AK4" s="6" t="s">
        <v>599</v>
      </c>
      <c r="AL4" s="6" t="s">
        <v>600</v>
      </c>
      <c r="AM4" s="6" t="s">
        <v>601</v>
      </c>
      <c r="AN4" s="6" t="s">
        <v>602</v>
      </c>
      <c r="AO4" s="6" t="s">
        <v>603</v>
      </c>
      <c r="AP4" s="6" t="s">
        <v>604</v>
      </c>
      <c r="AQ4" s="6" t="s">
        <v>605</v>
      </c>
      <c r="AR4" s="6" t="s">
        <v>606</v>
      </c>
      <c r="AS4" s="6" t="s">
        <v>607</v>
      </c>
      <c r="AT4" s="6" t="s">
        <v>608</v>
      </c>
      <c r="AU4" s="6" t="s">
        <v>609</v>
      </c>
      <c r="AV4" s="6" t="s">
        <v>610</v>
      </c>
      <c r="AW4" s="6" t="s">
        <v>611</v>
      </c>
      <c r="AX4" s="6" t="s">
        <v>612</v>
      </c>
      <c r="AY4" s="6" t="s">
        <v>613</v>
      </c>
      <c r="AZ4" s="6" t="s">
        <v>614</v>
      </c>
      <c r="BA4" s="6" t="s">
        <v>615</v>
      </c>
    </row>
    <row r="5" ht="14.25" customHeight="1">
      <c r="A5" s="153" t="s">
        <v>646</v>
      </c>
    </row>
    <row r="6" ht="14.25" customHeight="1">
      <c r="A6" s="7" t="s">
        <v>647</v>
      </c>
      <c r="B6" s="165">
        <f>IF(COLUMN()-1&lt;=4,'2_Inputs'!$B$53,IF(COLUMN()-1&lt;=16,'2_Inputs'!$B$54,IF(COLUMN()-1&lt;=28,'2_Inputs'!$B$55,IF(COLUMN()-1&lt;=40,'2_Inputs'!$B$56,'2_Inputs'!$B$57))))/12</f>
        <v>0</v>
      </c>
      <c r="C6" s="165">
        <f>IF(COLUMN()-1&lt;=4,'2_Inputs'!$B$53,IF(COLUMN()-1&lt;=16,'2_Inputs'!$B$54,IF(COLUMN()-1&lt;=28,'2_Inputs'!$B$55,IF(COLUMN()-1&lt;=40,'2_Inputs'!$B$56,'2_Inputs'!$B$57))))/12</f>
        <v>0</v>
      </c>
      <c r="D6" s="165">
        <f>IF(COLUMN()-1&lt;=4,'2_Inputs'!$B$53,IF(COLUMN()-1&lt;=16,'2_Inputs'!$B$54,IF(COLUMN()-1&lt;=28,'2_Inputs'!$B$55,IF(COLUMN()-1&lt;=40,'2_Inputs'!$B$56,'2_Inputs'!$B$57))))/12</f>
        <v>0</v>
      </c>
      <c r="E6" s="165">
        <f>IF(COLUMN()-1&lt;=4,'2_Inputs'!$B$53,IF(COLUMN()-1&lt;=16,'2_Inputs'!$B$54,IF(COLUMN()-1&lt;=28,'2_Inputs'!$B$55,IF(COLUMN()-1&lt;=40,'2_Inputs'!$B$56,'2_Inputs'!$B$57))))/12</f>
        <v>0</v>
      </c>
      <c r="F6" s="165">
        <f>IF(COLUMN()-1&lt;=4,'2_Inputs'!$B$53,IF(COLUMN()-1&lt;=16,'2_Inputs'!$B$54,IF(COLUMN()-1&lt;=28,'2_Inputs'!$B$55,IF(COLUMN()-1&lt;=40,'2_Inputs'!$B$56,'2_Inputs'!$B$57))))/12</f>
        <v>8333.333333</v>
      </c>
      <c r="G6" s="165">
        <f>IF(COLUMN()-1&lt;=4,'2_Inputs'!$B$53,IF(COLUMN()-1&lt;=16,'2_Inputs'!$B$54,IF(COLUMN()-1&lt;=28,'2_Inputs'!$B$55,IF(COLUMN()-1&lt;=40,'2_Inputs'!$B$56,'2_Inputs'!$B$57))))/12</f>
        <v>8333.333333</v>
      </c>
      <c r="H6" s="165">
        <f>IF(COLUMN()-1&lt;=4,'2_Inputs'!$B$53,IF(COLUMN()-1&lt;=16,'2_Inputs'!$B$54,IF(COLUMN()-1&lt;=28,'2_Inputs'!$B$55,IF(COLUMN()-1&lt;=40,'2_Inputs'!$B$56,'2_Inputs'!$B$57))))/12</f>
        <v>8333.333333</v>
      </c>
      <c r="I6" s="165">
        <f>IF(COLUMN()-1&lt;=4,'2_Inputs'!$B$53,IF(COLUMN()-1&lt;=16,'2_Inputs'!$B$54,IF(COLUMN()-1&lt;=28,'2_Inputs'!$B$55,IF(COLUMN()-1&lt;=40,'2_Inputs'!$B$56,'2_Inputs'!$B$57))))/12</f>
        <v>8333.333333</v>
      </c>
      <c r="J6" s="165">
        <f>IF(COLUMN()-1&lt;=4,'2_Inputs'!$B$53,IF(COLUMN()-1&lt;=16,'2_Inputs'!$B$54,IF(COLUMN()-1&lt;=28,'2_Inputs'!$B$55,IF(COLUMN()-1&lt;=40,'2_Inputs'!$B$56,'2_Inputs'!$B$57))))/12</f>
        <v>8333.333333</v>
      </c>
      <c r="K6" s="165">
        <f>IF(COLUMN()-1&lt;=4,'2_Inputs'!$B$53,IF(COLUMN()-1&lt;=16,'2_Inputs'!$B$54,IF(COLUMN()-1&lt;=28,'2_Inputs'!$B$55,IF(COLUMN()-1&lt;=40,'2_Inputs'!$B$56,'2_Inputs'!$B$57))))/12</f>
        <v>8333.333333</v>
      </c>
      <c r="L6" s="165">
        <f>IF(COLUMN()-1&lt;=4,'2_Inputs'!$B$53,IF(COLUMN()-1&lt;=16,'2_Inputs'!$B$54,IF(COLUMN()-1&lt;=28,'2_Inputs'!$B$55,IF(COLUMN()-1&lt;=40,'2_Inputs'!$B$56,'2_Inputs'!$B$57))))/12</f>
        <v>8333.333333</v>
      </c>
      <c r="M6" s="165">
        <f>IF(COLUMN()-1&lt;=4,'2_Inputs'!$B$53,IF(COLUMN()-1&lt;=16,'2_Inputs'!$B$54,IF(COLUMN()-1&lt;=28,'2_Inputs'!$B$55,IF(COLUMN()-1&lt;=40,'2_Inputs'!$B$56,'2_Inputs'!$B$57))))/12</f>
        <v>8333.333333</v>
      </c>
      <c r="N6" s="165">
        <f>IF(COLUMN()-1&lt;=4,'2_Inputs'!$B$53,IF(COLUMN()-1&lt;=16,'2_Inputs'!$B$54,IF(COLUMN()-1&lt;=28,'2_Inputs'!$B$55,IF(COLUMN()-1&lt;=40,'2_Inputs'!$B$56,'2_Inputs'!$B$57))))/12</f>
        <v>8333.333333</v>
      </c>
      <c r="O6" s="165">
        <f>IF(COLUMN()-1&lt;=4,'2_Inputs'!$B$53,IF(COLUMN()-1&lt;=16,'2_Inputs'!$B$54,IF(COLUMN()-1&lt;=28,'2_Inputs'!$B$55,IF(COLUMN()-1&lt;=40,'2_Inputs'!$B$56,'2_Inputs'!$B$57))))/12</f>
        <v>8333.333333</v>
      </c>
      <c r="P6" s="165">
        <f>IF(COLUMN()-1&lt;=4,'2_Inputs'!$B$53,IF(COLUMN()-1&lt;=16,'2_Inputs'!$B$54,IF(COLUMN()-1&lt;=28,'2_Inputs'!$B$55,IF(COLUMN()-1&lt;=40,'2_Inputs'!$B$56,'2_Inputs'!$B$57))))/12</f>
        <v>8333.333333</v>
      </c>
      <c r="Q6" s="165">
        <f>IF(COLUMN()-1&lt;=4,'2_Inputs'!$B$53,IF(COLUMN()-1&lt;=16,'2_Inputs'!$B$54,IF(COLUMN()-1&lt;=28,'2_Inputs'!$B$55,IF(COLUMN()-1&lt;=40,'2_Inputs'!$B$56,'2_Inputs'!$B$57))))/12</f>
        <v>8333.333333</v>
      </c>
      <c r="R6" s="165">
        <f>IF(COLUMN()-1&lt;=4,'2_Inputs'!$B$53,IF(COLUMN()-1&lt;=16,'2_Inputs'!$B$54,IF(COLUMN()-1&lt;=28,'2_Inputs'!$B$55,IF(COLUMN()-1&lt;=40,'2_Inputs'!$B$56,'2_Inputs'!$B$57))))/12</f>
        <v>8333.333333</v>
      </c>
      <c r="S6" s="165">
        <f>IF(COLUMN()-1&lt;=4,'2_Inputs'!$B$53,IF(COLUMN()-1&lt;=16,'2_Inputs'!$B$54,IF(COLUMN()-1&lt;=28,'2_Inputs'!$B$55,IF(COLUMN()-1&lt;=40,'2_Inputs'!$B$56,'2_Inputs'!$B$57))))/12</f>
        <v>8333.333333</v>
      </c>
      <c r="T6" s="165">
        <f>IF(COLUMN()-1&lt;=4,'2_Inputs'!$B$53,IF(COLUMN()-1&lt;=16,'2_Inputs'!$B$54,IF(COLUMN()-1&lt;=28,'2_Inputs'!$B$55,IF(COLUMN()-1&lt;=40,'2_Inputs'!$B$56,'2_Inputs'!$B$57))))/12</f>
        <v>8333.333333</v>
      </c>
      <c r="U6" s="165">
        <f>IF(COLUMN()-1&lt;=4,'2_Inputs'!$B$53,IF(COLUMN()-1&lt;=16,'2_Inputs'!$B$54,IF(COLUMN()-1&lt;=28,'2_Inputs'!$B$55,IF(COLUMN()-1&lt;=40,'2_Inputs'!$B$56,'2_Inputs'!$B$57))))/12</f>
        <v>8333.333333</v>
      </c>
      <c r="V6" s="165">
        <f>IF(COLUMN()-1&lt;=4,'2_Inputs'!$B$53,IF(COLUMN()-1&lt;=16,'2_Inputs'!$B$54,IF(COLUMN()-1&lt;=28,'2_Inputs'!$B$55,IF(COLUMN()-1&lt;=40,'2_Inputs'!$B$56,'2_Inputs'!$B$57))))/12</f>
        <v>8333.333333</v>
      </c>
      <c r="W6" s="165">
        <f>IF(COLUMN()-1&lt;=4,'2_Inputs'!$B$53,IF(COLUMN()-1&lt;=16,'2_Inputs'!$B$54,IF(COLUMN()-1&lt;=28,'2_Inputs'!$B$55,IF(COLUMN()-1&lt;=40,'2_Inputs'!$B$56,'2_Inputs'!$B$57))))/12</f>
        <v>8333.333333</v>
      </c>
      <c r="X6" s="165">
        <f>IF(COLUMN()-1&lt;=4,'2_Inputs'!$B$53,IF(COLUMN()-1&lt;=16,'2_Inputs'!$B$54,IF(COLUMN()-1&lt;=28,'2_Inputs'!$B$55,IF(COLUMN()-1&lt;=40,'2_Inputs'!$B$56,'2_Inputs'!$B$57))))/12</f>
        <v>8333.333333</v>
      </c>
      <c r="Y6" s="165">
        <f>IF(COLUMN()-1&lt;=4,'2_Inputs'!$B$53,IF(COLUMN()-1&lt;=16,'2_Inputs'!$B$54,IF(COLUMN()-1&lt;=28,'2_Inputs'!$B$55,IF(COLUMN()-1&lt;=40,'2_Inputs'!$B$56,'2_Inputs'!$B$57))))/12</f>
        <v>8333.333333</v>
      </c>
      <c r="Z6" s="165">
        <f>IF(COLUMN()-1&lt;=4,'2_Inputs'!$B$53,IF(COLUMN()-1&lt;=16,'2_Inputs'!$B$54,IF(COLUMN()-1&lt;=28,'2_Inputs'!$B$55,IF(COLUMN()-1&lt;=40,'2_Inputs'!$B$56,'2_Inputs'!$B$57))))/12</f>
        <v>8333.333333</v>
      </c>
      <c r="AA6" s="165">
        <f>IF(COLUMN()-1&lt;=4,'2_Inputs'!$B$53,IF(COLUMN()-1&lt;=16,'2_Inputs'!$B$54,IF(COLUMN()-1&lt;=28,'2_Inputs'!$B$55,IF(COLUMN()-1&lt;=40,'2_Inputs'!$B$56,'2_Inputs'!$B$57))))/12</f>
        <v>8333.333333</v>
      </c>
      <c r="AB6" s="165">
        <f>IF(COLUMN()-1&lt;=4,'2_Inputs'!$B$53,IF(COLUMN()-1&lt;=16,'2_Inputs'!$B$54,IF(COLUMN()-1&lt;=28,'2_Inputs'!$B$55,IF(COLUMN()-1&lt;=40,'2_Inputs'!$B$56,'2_Inputs'!$B$57))))/12</f>
        <v>8333.333333</v>
      </c>
      <c r="AC6" s="165">
        <f>IF(COLUMN()-1&lt;=4,'2_Inputs'!$B$53,IF(COLUMN()-1&lt;=16,'2_Inputs'!$B$54,IF(COLUMN()-1&lt;=28,'2_Inputs'!$B$55,IF(COLUMN()-1&lt;=40,'2_Inputs'!$B$56,'2_Inputs'!$B$57))))/12</f>
        <v>8333.333333</v>
      </c>
      <c r="AD6" s="165">
        <f>IF(COLUMN()-1&lt;=4,'2_Inputs'!$B$53,IF(COLUMN()-1&lt;=16,'2_Inputs'!$B$54,IF(COLUMN()-1&lt;=28,'2_Inputs'!$B$55,IF(COLUMN()-1&lt;=40,'2_Inputs'!$B$56,'2_Inputs'!$B$57))))/12</f>
        <v>8333.333333</v>
      </c>
      <c r="AE6" s="165">
        <f>IF(COLUMN()-1&lt;=4,'2_Inputs'!$B$53,IF(COLUMN()-1&lt;=16,'2_Inputs'!$B$54,IF(COLUMN()-1&lt;=28,'2_Inputs'!$B$55,IF(COLUMN()-1&lt;=40,'2_Inputs'!$B$56,'2_Inputs'!$B$57))))/12</f>
        <v>8333.333333</v>
      </c>
      <c r="AF6" s="165">
        <f>IF(COLUMN()-1&lt;=4,'2_Inputs'!$B$53,IF(COLUMN()-1&lt;=16,'2_Inputs'!$B$54,IF(COLUMN()-1&lt;=28,'2_Inputs'!$B$55,IF(COLUMN()-1&lt;=40,'2_Inputs'!$B$56,'2_Inputs'!$B$57))))/12</f>
        <v>8333.333333</v>
      </c>
      <c r="AG6" s="165">
        <f>IF(COLUMN()-1&lt;=4,'2_Inputs'!$B$53,IF(COLUMN()-1&lt;=16,'2_Inputs'!$B$54,IF(COLUMN()-1&lt;=28,'2_Inputs'!$B$55,IF(COLUMN()-1&lt;=40,'2_Inputs'!$B$56,'2_Inputs'!$B$57))))/12</f>
        <v>8333.333333</v>
      </c>
      <c r="AH6" s="165">
        <f>IF(COLUMN()-1&lt;=4,'2_Inputs'!$B$53,IF(COLUMN()-1&lt;=16,'2_Inputs'!$B$54,IF(COLUMN()-1&lt;=28,'2_Inputs'!$B$55,IF(COLUMN()-1&lt;=40,'2_Inputs'!$B$56,'2_Inputs'!$B$57))))/12</f>
        <v>8333.333333</v>
      </c>
      <c r="AI6" s="165">
        <f>IF(COLUMN()-1&lt;=4,'2_Inputs'!$B$53,IF(COLUMN()-1&lt;=16,'2_Inputs'!$B$54,IF(COLUMN()-1&lt;=28,'2_Inputs'!$B$55,IF(COLUMN()-1&lt;=40,'2_Inputs'!$B$56,'2_Inputs'!$B$57))))/12</f>
        <v>8333.333333</v>
      </c>
      <c r="AJ6" s="165">
        <f>IF(COLUMN()-1&lt;=4,'2_Inputs'!$B$53,IF(COLUMN()-1&lt;=16,'2_Inputs'!$B$54,IF(COLUMN()-1&lt;=28,'2_Inputs'!$B$55,IF(COLUMN()-1&lt;=40,'2_Inputs'!$B$56,'2_Inputs'!$B$57))))/12</f>
        <v>8333.333333</v>
      </c>
      <c r="AK6" s="165">
        <f>IF(COLUMN()-1&lt;=4,'2_Inputs'!$B$53,IF(COLUMN()-1&lt;=16,'2_Inputs'!$B$54,IF(COLUMN()-1&lt;=28,'2_Inputs'!$B$55,IF(COLUMN()-1&lt;=40,'2_Inputs'!$B$56,'2_Inputs'!$B$57))))/12</f>
        <v>8333.333333</v>
      </c>
      <c r="AL6" s="165">
        <f>IF(COLUMN()-1&lt;=4,'2_Inputs'!$B$53,IF(COLUMN()-1&lt;=16,'2_Inputs'!$B$54,IF(COLUMN()-1&lt;=28,'2_Inputs'!$B$55,IF(COLUMN()-1&lt;=40,'2_Inputs'!$B$56,'2_Inputs'!$B$57))))/12</f>
        <v>8333.333333</v>
      </c>
      <c r="AM6" s="165">
        <f>IF(COLUMN()-1&lt;=4,'2_Inputs'!$B$53,IF(COLUMN()-1&lt;=16,'2_Inputs'!$B$54,IF(COLUMN()-1&lt;=28,'2_Inputs'!$B$55,IF(COLUMN()-1&lt;=40,'2_Inputs'!$B$56,'2_Inputs'!$B$57))))/12</f>
        <v>8333.333333</v>
      </c>
      <c r="AN6" s="165">
        <f>IF(COLUMN()-1&lt;=4,'2_Inputs'!$B$53,IF(COLUMN()-1&lt;=16,'2_Inputs'!$B$54,IF(COLUMN()-1&lt;=28,'2_Inputs'!$B$55,IF(COLUMN()-1&lt;=40,'2_Inputs'!$B$56,'2_Inputs'!$B$57))))/12</f>
        <v>8333.333333</v>
      </c>
      <c r="AO6" s="165">
        <f>IF(COLUMN()-1&lt;=4,'2_Inputs'!$B$53,IF(COLUMN()-1&lt;=16,'2_Inputs'!$B$54,IF(COLUMN()-1&lt;=28,'2_Inputs'!$B$55,IF(COLUMN()-1&lt;=40,'2_Inputs'!$B$56,'2_Inputs'!$B$57))))/12</f>
        <v>8333.333333</v>
      </c>
      <c r="AP6" s="165">
        <f>IF(COLUMN()-1&lt;=4,'2_Inputs'!$B$53,IF(COLUMN()-1&lt;=16,'2_Inputs'!$B$54,IF(COLUMN()-1&lt;=28,'2_Inputs'!$B$55,IF(COLUMN()-1&lt;=40,'2_Inputs'!$B$56,'2_Inputs'!$B$57))))/12</f>
        <v>10000</v>
      </c>
      <c r="AQ6" s="165">
        <f>IF(COLUMN()-1&lt;=4,'2_Inputs'!$B$53,IF(COLUMN()-1&lt;=16,'2_Inputs'!$B$54,IF(COLUMN()-1&lt;=28,'2_Inputs'!$B$55,IF(COLUMN()-1&lt;=40,'2_Inputs'!$B$56,'2_Inputs'!$B$57))))/12</f>
        <v>10000</v>
      </c>
      <c r="AR6" s="165">
        <f>IF(COLUMN()-1&lt;=4,'2_Inputs'!$B$53,IF(COLUMN()-1&lt;=16,'2_Inputs'!$B$54,IF(COLUMN()-1&lt;=28,'2_Inputs'!$B$55,IF(COLUMN()-1&lt;=40,'2_Inputs'!$B$56,'2_Inputs'!$B$57))))/12</f>
        <v>10000</v>
      </c>
      <c r="AS6" s="165">
        <f>IF(COLUMN()-1&lt;=4,'2_Inputs'!$B$53,IF(COLUMN()-1&lt;=16,'2_Inputs'!$B$54,IF(COLUMN()-1&lt;=28,'2_Inputs'!$B$55,IF(COLUMN()-1&lt;=40,'2_Inputs'!$B$56,'2_Inputs'!$B$57))))/12</f>
        <v>10000</v>
      </c>
      <c r="AT6" s="165">
        <f>IF(COLUMN()-1&lt;=4,'2_Inputs'!$B$53,IF(COLUMN()-1&lt;=16,'2_Inputs'!$B$54,IF(COLUMN()-1&lt;=28,'2_Inputs'!$B$55,IF(COLUMN()-1&lt;=40,'2_Inputs'!$B$56,'2_Inputs'!$B$57))))/12</f>
        <v>10000</v>
      </c>
      <c r="AU6" s="165">
        <f>IF(COLUMN()-1&lt;=4,'2_Inputs'!$B$53,IF(COLUMN()-1&lt;=16,'2_Inputs'!$B$54,IF(COLUMN()-1&lt;=28,'2_Inputs'!$B$55,IF(COLUMN()-1&lt;=40,'2_Inputs'!$B$56,'2_Inputs'!$B$57))))/12</f>
        <v>10000</v>
      </c>
      <c r="AV6" s="165">
        <f>IF(COLUMN()-1&lt;=4,'2_Inputs'!$B$53,IF(COLUMN()-1&lt;=16,'2_Inputs'!$B$54,IF(COLUMN()-1&lt;=28,'2_Inputs'!$B$55,IF(COLUMN()-1&lt;=40,'2_Inputs'!$B$56,'2_Inputs'!$B$57))))/12</f>
        <v>10000</v>
      </c>
      <c r="AW6" s="165">
        <f>IF(COLUMN()-1&lt;=4,'2_Inputs'!$B$53,IF(COLUMN()-1&lt;=16,'2_Inputs'!$B$54,IF(COLUMN()-1&lt;=28,'2_Inputs'!$B$55,IF(COLUMN()-1&lt;=40,'2_Inputs'!$B$56,'2_Inputs'!$B$57))))/12</f>
        <v>10000</v>
      </c>
      <c r="AX6" s="165">
        <f>IF(COLUMN()-1&lt;=4,'2_Inputs'!$B$53,IF(COLUMN()-1&lt;=16,'2_Inputs'!$B$54,IF(COLUMN()-1&lt;=28,'2_Inputs'!$B$55,IF(COLUMN()-1&lt;=40,'2_Inputs'!$B$56,'2_Inputs'!$B$57))))/12</f>
        <v>10000</v>
      </c>
      <c r="AY6" s="165">
        <f>IF(COLUMN()-1&lt;=4,'2_Inputs'!$B$53,IF(COLUMN()-1&lt;=16,'2_Inputs'!$B$54,IF(COLUMN()-1&lt;=28,'2_Inputs'!$B$55,IF(COLUMN()-1&lt;=40,'2_Inputs'!$B$56,'2_Inputs'!$B$57))))/12</f>
        <v>10000</v>
      </c>
      <c r="AZ6" s="165">
        <f>IF(COLUMN()-1&lt;=4,'2_Inputs'!$B$53,IF(COLUMN()-1&lt;=16,'2_Inputs'!$B$54,IF(COLUMN()-1&lt;=28,'2_Inputs'!$B$55,IF(COLUMN()-1&lt;=40,'2_Inputs'!$B$56,'2_Inputs'!$B$57))))/12</f>
        <v>10000</v>
      </c>
      <c r="BA6" s="165">
        <f>IF(COLUMN()-1&lt;=4,'2_Inputs'!$B$53,IF(COLUMN()-1&lt;=16,'2_Inputs'!$B$54,IF(COLUMN()-1&lt;=28,'2_Inputs'!$B$55,IF(COLUMN()-1&lt;=40,'2_Inputs'!$B$56,'2_Inputs'!$B$57))))/12</f>
        <v>10000</v>
      </c>
    </row>
    <row r="7" ht="14.25" customHeight="1">
      <c r="A7" s="7" t="s">
        <v>648</v>
      </c>
      <c r="B7" s="165">
        <f>IF(COLUMN()-1&lt;=4,'2_Inputs'!$B$59,IF(COLUMN()-1&lt;=16,'2_Inputs'!$B$60,IF(COLUMN()-1&lt;=28,'2_Inputs'!$B$61,IF(COLUMN()-1&lt;=40,'2_Inputs'!$B$62,'2_Inputs'!$B$63))))/12</f>
        <v>0</v>
      </c>
      <c r="C7" s="165">
        <f>IF(COLUMN()-1&lt;=4,'2_Inputs'!$B$59,IF(COLUMN()-1&lt;=16,'2_Inputs'!$B$60,IF(COLUMN()-1&lt;=28,'2_Inputs'!$B$61,IF(COLUMN()-1&lt;=40,'2_Inputs'!$B$62,'2_Inputs'!$B$63))))/12</f>
        <v>0</v>
      </c>
      <c r="D7" s="165">
        <f>IF(COLUMN()-1&lt;=4,'2_Inputs'!$B$59,IF(COLUMN()-1&lt;=16,'2_Inputs'!$B$60,IF(COLUMN()-1&lt;=28,'2_Inputs'!$B$61,IF(COLUMN()-1&lt;=40,'2_Inputs'!$B$62,'2_Inputs'!$B$63))))/12</f>
        <v>0</v>
      </c>
      <c r="E7" s="165">
        <f>IF(COLUMN()-1&lt;=4,'2_Inputs'!$B$59,IF(COLUMN()-1&lt;=16,'2_Inputs'!$B$60,IF(COLUMN()-1&lt;=28,'2_Inputs'!$B$61,IF(COLUMN()-1&lt;=40,'2_Inputs'!$B$62,'2_Inputs'!$B$63))))/12</f>
        <v>0</v>
      </c>
      <c r="F7" s="165">
        <f>IF(COLUMN()-1&lt;=4,'2_Inputs'!$B$59,IF(COLUMN()-1&lt;=16,'2_Inputs'!$B$60,IF(COLUMN()-1&lt;=28,'2_Inputs'!$B$61,IF(COLUMN()-1&lt;=40,'2_Inputs'!$B$62,'2_Inputs'!$B$63))))/12</f>
        <v>8333.333333</v>
      </c>
      <c r="G7" s="165">
        <f>IF(COLUMN()-1&lt;=4,'2_Inputs'!$B$59,IF(COLUMN()-1&lt;=16,'2_Inputs'!$B$60,IF(COLUMN()-1&lt;=28,'2_Inputs'!$B$61,IF(COLUMN()-1&lt;=40,'2_Inputs'!$B$62,'2_Inputs'!$B$63))))/12</f>
        <v>8333.333333</v>
      </c>
      <c r="H7" s="165">
        <f>IF(COLUMN()-1&lt;=4,'2_Inputs'!$B$59,IF(COLUMN()-1&lt;=16,'2_Inputs'!$B$60,IF(COLUMN()-1&lt;=28,'2_Inputs'!$B$61,IF(COLUMN()-1&lt;=40,'2_Inputs'!$B$62,'2_Inputs'!$B$63))))/12</f>
        <v>8333.333333</v>
      </c>
      <c r="I7" s="165">
        <f>IF(COLUMN()-1&lt;=4,'2_Inputs'!$B$59,IF(COLUMN()-1&lt;=16,'2_Inputs'!$B$60,IF(COLUMN()-1&lt;=28,'2_Inputs'!$B$61,IF(COLUMN()-1&lt;=40,'2_Inputs'!$B$62,'2_Inputs'!$B$63))))/12</f>
        <v>8333.333333</v>
      </c>
      <c r="J7" s="165">
        <f>IF(COLUMN()-1&lt;=4,'2_Inputs'!$B$59,IF(COLUMN()-1&lt;=16,'2_Inputs'!$B$60,IF(COLUMN()-1&lt;=28,'2_Inputs'!$B$61,IF(COLUMN()-1&lt;=40,'2_Inputs'!$B$62,'2_Inputs'!$B$63))))/12</f>
        <v>8333.333333</v>
      </c>
      <c r="K7" s="165">
        <f>IF(COLUMN()-1&lt;=4,'2_Inputs'!$B$59,IF(COLUMN()-1&lt;=16,'2_Inputs'!$B$60,IF(COLUMN()-1&lt;=28,'2_Inputs'!$B$61,IF(COLUMN()-1&lt;=40,'2_Inputs'!$B$62,'2_Inputs'!$B$63))))/12</f>
        <v>8333.333333</v>
      </c>
      <c r="L7" s="165">
        <f>IF(COLUMN()-1&lt;=4,'2_Inputs'!$B$59,IF(COLUMN()-1&lt;=16,'2_Inputs'!$B$60,IF(COLUMN()-1&lt;=28,'2_Inputs'!$B$61,IF(COLUMN()-1&lt;=40,'2_Inputs'!$B$62,'2_Inputs'!$B$63))))/12</f>
        <v>8333.333333</v>
      </c>
      <c r="M7" s="165">
        <f>IF(COLUMN()-1&lt;=4,'2_Inputs'!$B$59,IF(COLUMN()-1&lt;=16,'2_Inputs'!$B$60,IF(COLUMN()-1&lt;=28,'2_Inputs'!$B$61,IF(COLUMN()-1&lt;=40,'2_Inputs'!$B$62,'2_Inputs'!$B$63))))/12</f>
        <v>8333.333333</v>
      </c>
      <c r="N7" s="165">
        <f>IF(COLUMN()-1&lt;=4,'2_Inputs'!$B$59,IF(COLUMN()-1&lt;=16,'2_Inputs'!$B$60,IF(COLUMN()-1&lt;=28,'2_Inputs'!$B$61,IF(COLUMN()-1&lt;=40,'2_Inputs'!$B$62,'2_Inputs'!$B$63))))/12</f>
        <v>8333.333333</v>
      </c>
      <c r="O7" s="165">
        <f>IF(COLUMN()-1&lt;=4,'2_Inputs'!$B$59,IF(COLUMN()-1&lt;=16,'2_Inputs'!$B$60,IF(COLUMN()-1&lt;=28,'2_Inputs'!$B$61,IF(COLUMN()-1&lt;=40,'2_Inputs'!$B$62,'2_Inputs'!$B$63))))/12</f>
        <v>8333.333333</v>
      </c>
      <c r="P7" s="165">
        <f>IF(COLUMN()-1&lt;=4,'2_Inputs'!$B$59,IF(COLUMN()-1&lt;=16,'2_Inputs'!$B$60,IF(COLUMN()-1&lt;=28,'2_Inputs'!$B$61,IF(COLUMN()-1&lt;=40,'2_Inputs'!$B$62,'2_Inputs'!$B$63))))/12</f>
        <v>8333.333333</v>
      </c>
      <c r="Q7" s="165">
        <f>IF(COLUMN()-1&lt;=4,'2_Inputs'!$B$59,IF(COLUMN()-1&lt;=16,'2_Inputs'!$B$60,IF(COLUMN()-1&lt;=28,'2_Inputs'!$B$61,IF(COLUMN()-1&lt;=40,'2_Inputs'!$B$62,'2_Inputs'!$B$63))))/12</f>
        <v>8333.333333</v>
      </c>
      <c r="R7" s="165">
        <f>IF(COLUMN()-1&lt;=4,'2_Inputs'!$B$59,IF(COLUMN()-1&lt;=16,'2_Inputs'!$B$60,IF(COLUMN()-1&lt;=28,'2_Inputs'!$B$61,IF(COLUMN()-1&lt;=40,'2_Inputs'!$B$62,'2_Inputs'!$B$63))))/12</f>
        <v>8333.333333</v>
      </c>
      <c r="S7" s="165">
        <f>IF(COLUMN()-1&lt;=4,'2_Inputs'!$B$59,IF(COLUMN()-1&lt;=16,'2_Inputs'!$B$60,IF(COLUMN()-1&lt;=28,'2_Inputs'!$B$61,IF(COLUMN()-1&lt;=40,'2_Inputs'!$B$62,'2_Inputs'!$B$63))))/12</f>
        <v>8333.333333</v>
      </c>
      <c r="T7" s="165">
        <f>IF(COLUMN()-1&lt;=4,'2_Inputs'!$B$59,IF(COLUMN()-1&lt;=16,'2_Inputs'!$B$60,IF(COLUMN()-1&lt;=28,'2_Inputs'!$B$61,IF(COLUMN()-1&lt;=40,'2_Inputs'!$B$62,'2_Inputs'!$B$63))))/12</f>
        <v>8333.333333</v>
      </c>
      <c r="U7" s="165">
        <f>IF(COLUMN()-1&lt;=4,'2_Inputs'!$B$59,IF(COLUMN()-1&lt;=16,'2_Inputs'!$B$60,IF(COLUMN()-1&lt;=28,'2_Inputs'!$B$61,IF(COLUMN()-1&lt;=40,'2_Inputs'!$B$62,'2_Inputs'!$B$63))))/12</f>
        <v>8333.333333</v>
      </c>
      <c r="V7" s="165">
        <f>IF(COLUMN()-1&lt;=4,'2_Inputs'!$B$59,IF(COLUMN()-1&lt;=16,'2_Inputs'!$B$60,IF(COLUMN()-1&lt;=28,'2_Inputs'!$B$61,IF(COLUMN()-1&lt;=40,'2_Inputs'!$B$62,'2_Inputs'!$B$63))))/12</f>
        <v>8333.333333</v>
      </c>
      <c r="W7" s="165">
        <f>IF(COLUMN()-1&lt;=4,'2_Inputs'!$B$59,IF(COLUMN()-1&lt;=16,'2_Inputs'!$B$60,IF(COLUMN()-1&lt;=28,'2_Inputs'!$B$61,IF(COLUMN()-1&lt;=40,'2_Inputs'!$B$62,'2_Inputs'!$B$63))))/12</f>
        <v>8333.333333</v>
      </c>
      <c r="X7" s="165">
        <f>IF(COLUMN()-1&lt;=4,'2_Inputs'!$B$59,IF(COLUMN()-1&lt;=16,'2_Inputs'!$B$60,IF(COLUMN()-1&lt;=28,'2_Inputs'!$B$61,IF(COLUMN()-1&lt;=40,'2_Inputs'!$B$62,'2_Inputs'!$B$63))))/12</f>
        <v>8333.333333</v>
      </c>
      <c r="Y7" s="165">
        <f>IF(COLUMN()-1&lt;=4,'2_Inputs'!$B$59,IF(COLUMN()-1&lt;=16,'2_Inputs'!$B$60,IF(COLUMN()-1&lt;=28,'2_Inputs'!$B$61,IF(COLUMN()-1&lt;=40,'2_Inputs'!$B$62,'2_Inputs'!$B$63))))/12</f>
        <v>8333.333333</v>
      </c>
      <c r="Z7" s="165">
        <f>IF(COLUMN()-1&lt;=4,'2_Inputs'!$B$59,IF(COLUMN()-1&lt;=16,'2_Inputs'!$B$60,IF(COLUMN()-1&lt;=28,'2_Inputs'!$B$61,IF(COLUMN()-1&lt;=40,'2_Inputs'!$B$62,'2_Inputs'!$B$63))))/12</f>
        <v>8333.333333</v>
      </c>
      <c r="AA7" s="165">
        <f>IF(COLUMN()-1&lt;=4,'2_Inputs'!$B$59,IF(COLUMN()-1&lt;=16,'2_Inputs'!$B$60,IF(COLUMN()-1&lt;=28,'2_Inputs'!$B$61,IF(COLUMN()-1&lt;=40,'2_Inputs'!$B$62,'2_Inputs'!$B$63))))/12</f>
        <v>8333.333333</v>
      </c>
      <c r="AB7" s="165">
        <f>IF(COLUMN()-1&lt;=4,'2_Inputs'!$B$59,IF(COLUMN()-1&lt;=16,'2_Inputs'!$B$60,IF(COLUMN()-1&lt;=28,'2_Inputs'!$B$61,IF(COLUMN()-1&lt;=40,'2_Inputs'!$B$62,'2_Inputs'!$B$63))))/12</f>
        <v>8333.333333</v>
      </c>
      <c r="AC7" s="165">
        <f>IF(COLUMN()-1&lt;=4,'2_Inputs'!$B$59,IF(COLUMN()-1&lt;=16,'2_Inputs'!$B$60,IF(COLUMN()-1&lt;=28,'2_Inputs'!$B$61,IF(COLUMN()-1&lt;=40,'2_Inputs'!$B$62,'2_Inputs'!$B$63))))/12</f>
        <v>8333.333333</v>
      </c>
      <c r="AD7" s="165">
        <f>IF(COLUMN()-1&lt;=4,'2_Inputs'!$B$59,IF(COLUMN()-1&lt;=16,'2_Inputs'!$B$60,IF(COLUMN()-1&lt;=28,'2_Inputs'!$B$61,IF(COLUMN()-1&lt;=40,'2_Inputs'!$B$62,'2_Inputs'!$B$63))))/12</f>
        <v>8333.333333</v>
      </c>
      <c r="AE7" s="165">
        <f>IF(COLUMN()-1&lt;=4,'2_Inputs'!$B$59,IF(COLUMN()-1&lt;=16,'2_Inputs'!$B$60,IF(COLUMN()-1&lt;=28,'2_Inputs'!$B$61,IF(COLUMN()-1&lt;=40,'2_Inputs'!$B$62,'2_Inputs'!$B$63))))/12</f>
        <v>8333.333333</v>
      </c>
      <c r="AF7" s="165">
        <f>IF(COLUMN()-1&lt;=4,'2_Inputs'!$B$59,IF(COLUMN()-1&lt;=16,'2_Inputs'!$B$60,IF(COLUMN()-1&lt;=28,'2_Inputs'!$B$61,IF(COLUMN()-1&lt;=40,'2_Inputs'!$B$62,'2_Inputs'!$B$63))))/12</f>
        <v>8333.333333</v>
      </c>
      <c r="AG7" s="165">
        <f>IF(COLUMN()-1&lt;=4,'2_Inputs'!$B$59,IF(COLUMN()-1&lt;=16,'2_Inputs'!$B$60,IF(COLUMN()-1&lt;=28,'2_Inputs'!$B$61,IF(COLUMN()-1&lt;=40,'2_Inputs'!$B$62,'2_Inputs'!$B$63))))/12</f>
        <v>8333.333333</v>
      </c>
      <c r="AH7" s="165">
        <f>IF(COLUMN()-1&lt;=4,'2_Inputs'!$B$59,IF(COLUMN()-1&lt;=16,'2_Inputs'!$B$60,IF(COLUMN()-1&lt;=28,'2_Inputs'!$B$61,IF(COLUMN()-1&lt;=40,'2_Inputs'!$B$62,'2_Inputs'!$B$63))))/12</f>
        <v>8333.333333</v>
      </c>
      <c r="AI7" s="165">
        <f>IF(COLUMN()-1&lt;=4,'2_Inputs'!$B$59,IF(COLUMN()-1&lt;=16,'2_Inputs'!$B$60,IF(COLUMN()-1&lt;=28,'2_Inputs'!$B$61,IF(COLUMN()-1&lt;=40,'2_Inputs'!$B$62,'2_Inputs'!$B$63))))/12</f>
        <v>8333.333333</v>
      </c>
      <c r="AJ7" s="165">
        <f>IF(COLUMN()-1&lt;=4,'2_Inputs'!$B$59,IF(COLUMN()-1&lt;=16,'2_Inputs'!$B$60,IF(COLUMN()-1&lt;=28,'2_Inputs'!$B$61,IF(COLUMN()-1&lt;=40,'2_Inputs'!$B$62,'2_Inputs'!$B$63))))/12</f>
        <v>8333.333333</v>
      </c>
      <c r="AK7" s="165">
        <f>IF(COLUMN()-1&lt;=4,'2_Inputs'!$B$59,IF(COLUMN()-1&lt;=16,'2_Inputs'!$B$60,IF(COLUMN()-1&lt;=28,'2_Inputs'!$B$61,IF(COLUMN()-1&lt;=40,'2_Inputs'!$B$62,'2_Inputs'!$B$63))))/12</f>
        <v>8333.333333</v>
      </c>
      <c r="AL7" s="165">
        <f>IF(COLUMN()-1&lt;=4,'2_Inputs'!$B$59,IF(COLUMN()-1&lt;=16,'2_Inputs'!$B$60,IF(COLUMN()-1&lt;=28,'2_Inputs'!$B$61,IF(COLUMN()-1&lt;=40,'2_Inputs'!$B$62,'2_Inputs'!$B$63))))/12</f>
        <v>8333.333333</v>
      </c>
      <c r="AM7" s="165">
        <f>IF(COLUMN()-1&lt;=4,'2_Inputs'!$B$59,IF(COLUMN()-1&lt;=16,'2_Inputs'!$B$60,IF(COLUMN()-1&lt;=28,'2_Inputs'!$B$61,IF(COLUMN()-1&lt;=40,'2_Inputs'!$B$62,'2_Inputs'!$B$63))))/12</f>
        <v>8333.333333</v>
      </c>
      <c r="AN7" s="165">
        <f>IF(COLUMN()-1&lt;=4,'2_Inputs'!$B$59,IF(COLUMN()-1&lt;=16,'2_Inputs'!$B$60,IF(COLUMN()-1&lt;=28,'2_Inputs'!$B$61,IF(COLUMN()-1&lt;=40,'2_Inputs'!$B$62,'2_Inputs'!$B$63))))/12</f>
        <v>8333.333333</v>
      </c>
      <c r="AO7" s="165">
        <f>IF(COLUMN()-1&lt;=4,'2_Inputs'!$B$59,IF(COLUMN()-1&lt;=16,'2_Inputs'!$B$60,IF(COLUMN()-1&lt;=28,'2_Inputs'!$B$61,IF(COLUMN()-1&lt;=40,'2_Inputs'!$B$62,'2_Inputs'!$B$63))))/12</f>
        <v>8333.333333</v>
      </c>
      <c r="AP7" s="165">
        <f>IF(COLUMN()-1&lt;=4,'2_Inputs'!$B$59,IF(COLUMN()-1&lt;=16,'2_Inputs'!$B$60,IF(COLUMN()-1&lt;=28,'2_Inputs'!$B$61,IF(COLUMN()-1&lt;=40,'2_Inputs'!$B$62,'2_Inputs'!$B$63))))/12</f>
        <v>10000</v>
      </c>
      <c r="AQ7" s="165">
        <f>IF(COLUMN()-1&lt;=4,'2_Inputs'!$B$59,IF(COLUMN()-1&lt;=16,'2_Inputs'!$B$60,IF(COLUMN()-1&lt;=28,'2_Inputs'!$B$61,IF(COLUMN()-1&lt;=40,'2_Inputs'!$B$62,'2_Inputs'!$B$63))))/12</f>
        <v>10000</v>
      </c>
      <c r="AR7" s="165">
        <f>IF(COLUMN()-1&lt;=4,'2_Inputs'!$B$59,IF(COLUMN()-1&lt;=16,'2_Inputs'!$B$60,IF(COLUMN()-1&lt;=28,'2_Inputs'!$B$61,IF(COLUMN()-1&lt;=40,'2_Inputs'!$B$62,'2_Inputs'!$B$63))))/12</f>
        <v>10000</v>
      </c>
      <c r="AS7" s="165">
        <f>IF(COLUMN()-1&lt;=4,'2_Inputs'!$B$59,IF(COLUMN()-1&lt;=16,'2_Inputs'!$B$60,IF(COLUMN()-1&lt;=28,'2_Inputs'!$B$61,IF(COLUMN()-1&lt;=40,'2_Inputs'!$B$62,'2_Inputs'!$B$63))))/12</f>
        <v>10000</v>
      </c>
      <c r="AT7" s="165">
        <f>IF(COLUMN()-1&lt;=4,'2_Inputs'!$B$59,IF(COLUMN()-1&lt;=16,'2_Inputs'!$B$60,IF(COLUMN()-1&lt;=28,'2_Inputs'!$B$61,IF(COLUMN()-1&lt;=40,'2_Inputs'!$B$62,'2_Inputs'!$B$63))))/12</f>
        <v>10000</v>
      </c>
      <c r="AU7" s="165">
        <f>IF(COLUMN()-1&lt;=4,'2_Inputs'!$B$59,IF(COLUMN()-1&lt;=16,'2_Inputs'!$B$60,IF(COLUMN()-1&lt;=28,'2_Inputs'!$B$61,IF(COLUMN()-1&lt;=40,'2_Inputs'!$B$62,'2_Inputs'!$B$63))))/12</f>
        <v>10000</v>
      </c>
      <c r="AV7" s="165">
        <f>IF(COLUMN()-1&lt;=4,'2_Inputs'!$B$59,IF(COLUMN()-1&lt;=16,'2_Inputs'!$B$60,IF(COLUMN()-1&lt;=28,'2_Inputs'!$B$61,IF(COLUMN()-1&lt;=40,'2_Inputs'!$B$62,'2_Inputs'!$B$63))))/12</f>
        <v>10000</v>
      </c>
      <c r="AW7" s="165">
        <f>IF(COLUMN()-1&lt;=4,'2_Inputs'!$B$59,IF(COLUMN()-1&lt;=16,'2_Inputs'!$B$60,IF(COLUMN()-1&lt;=28,'2_Inputs'!$B$61,IF(COLUMN()-1&lt;=40,'2_Inputs'!$B$62,'2_Inputs'!$B$63))))/12</f>
        <v>10000</v>
      </c>
      <c r="AX7" s="165">
        <f>IF(COLUMN()-1&lt;=4,'2_Inputs'!$B$59,IF(COLUMN()-1&lt;=16,'2_Inputs'!$B$60,IF(COLUMN()-1&lt;=28,'2_Inputs'!$B$61,IF(COLUMN()-1&lt;=40,'2_Inputs'!$B$62,'2_Inputs'!$B$63))))/12</f>
        <v>10000</v>
      </c>
      <c r="AY7" s="165">
        <f>IF(COLUMN()-1&lt;=4,'2_Inputs'!$B$59,IF(COLUMN()-1&lt;=16,'2_Inputs'!$B$60,IF(COLUMN()-1&lt;=28,'2_Inputs'!$B$61,IF(COLUMN()-1&lt;=40,'2_Inputs'!$B$62,'2_Inputs'!$B$63))))/12</f>
        <v>10000</v>
      </c>
      <c r="AZ7" s="165">
        <f>IF(COLUMN()-1&lt;=4,'2_Inputs'!$B$59,IF(COLUMN()-1&lt;=16,'2_Inputs'!$B$60,IF(COLUMN()-1&lt;=28,'2_Inputs'!$B$61,IF(COLUMN()-1&lt;=40,'2_Inputs'!$B$62,'2_Inputs'!$B$63))))/12</f>
        <v>10000</v>
      </c>
      <c r="BA7" s="165">
        <f>IF(COLUMN()-1&lt;=4,'2_Inputs'!$B$59,IF(COLUMN()-1&lt;=16,'2_Inputs'!$B$60,IF(COLUMN()-1&lt;=28,'2_Inputs'!$B$61,IF(COLUMN()-1&lt;=40,'2_Inputs'!$B$62,'2_Inputs'!$B$63))))/12</f>
        <v>10000</v>
      </c>
    </row>
    <row r="8" ht="14.25" customHeight="1">
      <c r="A8" s="7" t="s">
        <v>649</v>
      </c>
      <c r="B8" s="165">
        <f>IF(COLUMN()-1&lt;=4,'2_Inputs'!$B$65,IF(COLUMN()-1&lt;=16,'2_Inputs'!$B$66,IF(COLUMN()-1&lt;=28,'2_Inputs'!$B$67,IF(COLUMN()-1&lt;=40,'2_Inputs'!$B$68,'2_Inputs'!$B$69))))/12</f>
        <v>0</v>
      </c>
      <c r="C8" s="165">
        <f>IF(COLUMN()-1&lt;=4,'2_Inputs'!$B$65,IF(COLUMN()-1&lt;=16,'2_Inputs'!$B$66,IF(COLUMN()-1&lt;=28,'2_Inputs'!$B$67,IF(COLUMN()-1&lt;=40,'2_Inputs'!$B$68,'2_Inputs'!$B$69))))/12</f>
        <v>0</v>
      </c>
      <c r="D8" s="165">
        <f>IF(COLUMN()-1&lt;=4,'2_Inputs'!$B$65,IF(COLUMN()-1&lt;=16,'2_Inputs'!$B$66,IF(COLUMN()-1&lt;=28,'2_Inputs'!$B$67,IF(COLUMN()-1&lt;=40,'2_Inputs'!$B$68,'2_Inputs'!$B$69))))/12</f>
        <v>0</v>
      </c>
      <c r="E8" s="165">
        <f>IF(COLUMN()-1&lt;=4,'2_Inputs'!$B$65,IF(COLUMN()-1&lt;=16,'2_Inputs'!$B$66,IF(COLUMN()-1&lt;=28,'2_Inputs'!$B$67,IF(COLUMN()-1&lt;=40,'2_Inputs'!$B$68,'2_Inputs'!$B$69))))/12</f>
        <v>0</v>
      </c>
      <c r="F8" s="165">
        <f>IF(COLUMN()-1&lt;=4,'2_Inputs'!$B$65,IF(COLUMN()-1&lt;=16,'2_Inputs'!$B$66,IF(COLUMN()-1&lt;=28,'2_Inputs'!$B$67,IF(COLUMN()-1&lt;=40,'2_Inputs'!$B$68,'2_Inputs'!$B$69))))/12</f>
        <v>8333.333333</v>
      </c>
      <c r="G8" s="165">
        <f>IF(COLUMN()-1&lt;=4,'2_Inputs'!$B$65,IF(COLUMN()-1&lt;=16,'2_Inputs'!$B$66,IF(COLUMN()-1&lt;=28,'2_Inputs'!$B$67,IF(COLUMN()-1&lt;=40,'2_Inputs'!$B$68,'2_Inputs'!$B$69))))/12</f>
        <v>8333.333333</v>
      </c>
      <c r="H8" s="165">
        <f>IF(COLUMN()-1&lt;=4,'2_Inputs'!$B$65,IF(COLUMN()-1&lt;=16,'2_Inputs'!$B$66,IF(COLUMN()-1&lt;=28,'2_Inputs'!$B$67,IF(COLUMN()-1&lt;=40,'2_Inputs'!$B$68,'2_Inputs'!$B$69))))/12</f>
        <v>8333.333333</v>
      </c>
      <c r="I8" s="165">
        <f>IF(COLUMN()-1&lt;=4,'2_Inputs'!$B$65,IF(COLUMN()-1&lt;=16,'2_Inputs'!$B$66,IF(COLUMN()-1&lt;=28,'2_Inputs'!$B$67,IF(COLUMN()-1&lt;=40,'2_Inputs'!$B$68,'2_Inputs'!$B$69))))/12</f>
        <v>8333.333333</v>
      </c>
      <c r="J8" s="165">
        <f>IF(COLUMN()-1&lt;=4,'2_Inputs'!$B$65,IF(COLUMN()-1&lt;=16,'2_Inputs'!$B$66,IF(COLUMN()-1&lt;=28,'2_Inputs'!$B$67,IF(COLUMN()-1&lt;=40,'2_Inputs'!$B$68,'2_Inputs'!$B$69))))/12</f>
        <v>8333.333333</v>
      </c>
      <c r="K8" s="165">
        <f>IF(COLUMN()-1&lt;=4,'2_Inputs'!$B$65,IF(COLUMN()-1&lt;=16,'2_Inputs'!$B$66,IF(COLUMN()-1&lt;=28,'2_Inputs'!$B$67,IF(COLUMN()-1&lt;=40,'2_Inputs'!$B$68,'2_Inputs'!$B$69))))/12</f>
        <v>8333.333333</v>
      </c>
      <c r="L8" s="165">
        <f>IF(COLUMN()-1&lt;=4,'2_Inputs'!$B$65,IF(COLUMN()-1&lt;=16,'2_Inputs'!$B$66,IF(COLUMN()-1&lt;=28,'2_Inputs'!$B$67,IF(COLUMN()-1&lt;=40,'2_Inputs'!$B$68,'2_Inputs'!$B$69))))/12</f>
        <v>8333.333333</v>
      </c>
      <c r="M8" s="165">
        <f>IF(COLUMN()-1&lt;=4,'2_Inputs'!$B$65,IF(COLUMN()-1&lt;=16,'2_Inputs'!$B$66,IF(COLUMN()-1&lt;=28,'2_Inputs'!$B$67,IF(COLUMN()-1&lt;=40,'2_Inputs'!$B$68,'2_Inputs'!$B$69))))/12</f>
        <v>8333.333333</v>
      </c>
      <c r="N8" s="165">
        <f>IF(COLUMN()-1&lt;=4,'2_Inputs'!$B$65,IF(COLUMN()-1&lt;=16,'2_Inputs'!$B$66,IF(COLUMN()-1&lt;=28,'2_Inputs'!$B$67,IF(COLUMN()-1&lt;=40,'2_Inputs'!$B$68,'2_Inputs'!$B$69))))/12</f>
        <v>8333.333333</v>
      </c>
      <c r="O8" s="165">
        <f>IF(COLUMN()-1&lt;=4,'2_Inputs'!$B$65,IF(COLUMN()-1&lt;=16,'2_Inputs'!$B$66,IF(COLUMN()-1&lt;=28,'2_Inputs'!$B$67,IF(COLUMN()-1&lt;=40,'2_Inputs'!$B$68,'2_Inputs'!$B$69))))/12</f>
        <v>8333.333333</v>
      </c>
      <c r="P8" s="165">
        <f>IF(COLUMN()-1&lt;=4,'2_Inputs'!$B$65,IF(COLUMN()-1&lt;=16,'2_Inputs'!$B$66,IF(COLUMN()-1&lt;=28,'2_Inputs'!$B$67,IF(COLUMN()-1&lt;=40,'2_Inputs'!$B$68,'2_Inputs'!$B$69))))/12</f>
        <v>8333.333333</v>
      </c>
      <c r="Q8" s="165">
        <f>IF(COLUMN()-1&lt;=4,'2_Inputs'!$B$65,IF(COLUMN()-1&lt;=16,'2_Inputs'!$B$66,IF(COLUMN()-1&lt;=28,'2_Inputs'!$B$67,IF(COLUMN()-1&lt;=40,'2_Inputs'!$B$68,'2_Inputs'!$B$69))))/12</f>
        <v>8333.333333</v>
      </c>
      <c r="R8" s="165">
        <f>IF(COLUMN()-1&lt;=4,'2_Inputs'!$B$65,IF(COLUMN()-1&lt;=16,'2_Inputs'!$B$66,IF(COLUMN()-1&lt;=28,'2_Inputs'!$B$67,IF(COLUMN()-1&lt;=40,'2_Inputs'!$B$68,'2_Inputs'!$B$69))))/12</f>
        <v>8333.333333</v>
      </c>
      <c r="S8" s="165">
        <f>IF(COLUMN()-1&lt;=4,'2_Inputs'!$B$65,IF(COLUMN()-1&lt;=16,'2_Inputs'!$B$66,IF(COLUMN()-1&lt;=28,'2_Inputs'!$B$67,IF(COLUMN()-1&lt;=40,'2_Inputs'!$B$68,'2_Inputs'!$B$69))))/12</f>
        <v>8333.333333</v>
      </c>
      <c r="T8" s="165">
        <f>IF(COLUMN()-1&lt;=4,'2_Inputs'!$B$65,IF(COLUMN()-1&lt;=16,'2_Inputs'!$B$66,IF(COLUMN()-1&lt;=28,'2_Inputs'!$B$67,IF(COLUMN()-1&lt;=40,'2_Inputs'!$B$68,'2_Inputs'!$B$69))))/12</f>
        <v>8333.333333</v>
      </c>
      <c r="U8" s="165">
        <f>IF(COLUMN()-1&lt;=4,'2_Inputs'!$B$65,IF(COLUMN()-1&lt;=16,'2_Inputs'!$B$66,IF(COLUMN()-1&lt;=28,'2_Inputs'!$B$67,IF(COLUMN()-1&lt;=40,'2_Inputs'!$B$68,'2_Inputs'!$B$69))))/12</f>
        <v>8333.333333</v>
      </c>
      <c r="V8" s="165">
        <f>IF(COLUMN()-1&lt;=4,'2_Inputs'!$B$65,IF(COLUMN()-1&lt;=16,'2_Inputs'!$B$66,IF(COLUMN()-1&lt;=28,'2_Inputs'!$B$67,IF(COLUMN()-1&lt;=40,'2_Inputs'!$B$68,'2_Inputs'!$B$69))))/12</f>
        <v>8333.333333</v>
      </c>
      <c r="W8" s="165">
        <f>IF(COLUMN()-1&lt;=4,'2_Inputs'!$B$65,IF(COLUMN()-1&lt;=16,'2_Inputs'!$B$66,IF(COLUMN()-1&lt;=28,'2_Inputs'!$B$67,IF(COLUMN()-1&lt;=40,'2_Inputs'!$B$68,'2_Inputs'!$B$69))))/12</f>
        <v>8333.333333</v>
      </c>
      <c r="X8" s="165">
        <f>IF(COLUMN()-1&lt;=4,'2_Inputs'!$B$65,IF(COLUMN()-1&lt;=16,'2_Inputs'!$B$66,IF(COLUMN()-1&lt;=28,'2_Inputs'!$B$67,IF(COLUMN()-1&lt;=40,'2_Inputs'!$B$68,'2_Inputs'!$B$69))))/12</f>
        <v>8333.333333</v>
      </c>
      <c r="Y8" s="165">
        <f>IF(COLUMN()-1&lt;=4,'2_Inputs'!$B$65,IF(COLUMN()-1&lt;=16,'2_Inputs'!$B$66,IF(COLUMN()-1&lt;=28,'2_Inputs'!$B$67,IF(COLUMN()-1&lt;=40,'2_Inputs'!$B$68,'2_Inputs'!$B$69))))/12</f>
        <v>8333.333333</v>
      </c>
      <c r="Z8" s="165">
        <f>IF(COLUMN()-1&lt;=4,'2_Inputs'!$B$65,IF(COLUMN()-1&lt;=16,'2_Inputs'!$B$66,IF(COLUMN()-1&lt;=28,'2_Inputs'!$B$67,IF(COLUMN()-1&lt;=40,'2_Inputs'!$B$68,'2_Inputs'!$B$69))))/12</f>
        <v>8333.333333</v>
      </c>
      <c r="AA8" s="165">
        <f>IF(COLUMN()-1&lt;=4,'2_Inputs'!$B$65,IF(COLUMN()-1&lt;=16,'2_Inputs'!$B$66,IF(COLUMN()-1&lt;=28,'2_Inputs'!$B$67,IF(COLUMN()-1&lt;=40,'2_Inputs'!$B$68,'2_Inputs'!$B$69))))/12</f>
        <v>8333.333333</v>
      </c>
      <c r="AB8" s="165">
        <f>IF(COLUMN()-1&lt;=4,'2_Inputs'!$B$65,IF(COLUMN()-1&lt;=16,'2_Inputs'!$B$66,IF(COLUMN()-1&lt;=28,'2_Inputs'!$B$67,IF(COLUMN()-1&lt;=40,'2_Inputs'!$B$68,'2_Inputs'!$B$69))))/12</f>
        <v>8333.333333</v>
      </c>
      <c r="AC8" s="165">
        <f>IF(COLUMN()-1&lt;=4,'2_Inputs'!$B$65,IF(COLUMN()-1&lt;=16,'2_Inputs'!$B$66,IF(COLUMN()-1&lt;=28,'2_Inputs'!$B$67,IF(COLUMN()-1&lt;=40,'2_Inputs'!$B$68,'2_Inputs'!$B$69))))/12</f>
        <v>8333.333333</v>
      </c>
      <c r="AD8" s="165">
        <f>IF(COLUMN()-1&lt;=4,'2_Inputs'!$B$65,IF(COLUMN()-1&lt;=16,'2_Inputs'!$B$66,IF(COLUMN()-1&lt;=28,'2_Inputs'!$B$67,IF(COLUMN()-1&lt;=40,'2_Inputs'!$B$68,'2_Inputs'!$B$69))))/12</f>
        <v>8333.333333</v>
      </c>
      <c r="AE8" s="165">
        <f>IF(COLUMN()-1&lt;=4,'2_Inputs'!$B$65,IF(COLUMN()-1&lt;=16,'2_Inputs'!$B$66,IF(COLUMN()-1&lt;=28,'2_Inputs'!$B$67,IF(COLUMN()-1&lt;=40,'2_Inputs'!$B$68,'2_Inputs'!$B$69))))/12</f>
        <v>8333.333333</v>
      </c>
      <c r="AF8" s="165">
        <f>IF(COLUMN()-1&lt;=4,'2_Inputs'!$B$65,IF(COLUMN()-1&lt;=16,'2_Inputs'!$B$66,IF(COLUMN()-1&lt;=28,'2_Inputs'!$B$67,IF(COLUMN()-1&lt;=40,'2_Inputs'!$B$68,'2_Inputs'!$B$69))))/12</f>
        <v>8333.333333</v>
      </c>
      <c r="AG8" s="165">
        <f>IF(COLUMN()-1&lt;=4,'2_Inputs'!$B$65,IF(COLUMN()-1&lt;=16,'2_Inputs'!$B$66,IF(COLUMN()-1&lt;=28,'2_Inputs'!$B$67,IF(COLUMN()-1&lt;=40,'2_Inputs'!$B$68,'2_Inputs'!$B$69))))/12</f>
        <v>8333.333333</v>
      </c>
      <c r="AH8" s="165">
        <f>IF(COLUMN()-1&lt;=4,'2_Inputs'!$B$65,IF(COLUMN()-1&lt;=16,'2_Inputs'!$B$66,IF(COLUMN()-1&lt;=28,'2_Inputs'!$B$67,IF(COLUMN()-1&lt;=40,'2_Inputs'!$B$68,'2_Inputs'!$B$69))))/12</f>
        <v>8333.333333</v>
      </c>
      <c r="AI8" s="165">
        <f>IF(COLUMN()-1&lt;=4,'2_Inputs'!$B$65,IF(COLUMN()-1&lt;=16,'2_Inputs'!$B$66,IF(COLUMN()-1&lt;=28,'2_Inputs'!$B$67,IF(COLUMN()-1&lt;=40,'2_Inputs'!$B$68,'2_Inputs'!$B$69))))/12</f>
        <v>8333.333333</v>
      </c>
      <c r="AJ8" s="165">
        <f>IF(COLUMN()-1&lt;=4,'2_Inputs'!$B$65,IF(COLUMN()-1&lt;=16,'2_Inputs'!$B$66,IF(COLUMN()-1&lt;=28,'2_Inputs'!$B$67,IF(COLUMN()-1&lt;=40,'2_Inputs'!$B$68,'2_Inputs'!$B$69))))/12</f>
        <v>8333.333333</v>
      </c>
      <c r="AK8" s="165">
        <f>IF(COLUMN()-1&lt;=4,'2_Inputs'!$B$65,IF(COLUMN()-1&lt;=16,'2_Inputs'!$B$66,IF(COLUMN()-1&lt;=28,'2_Inputs'!$B$67,IF(COLUMN()-1&lt;=40,'2_Inputs'!$B$68,'2_Inputs'!$B$69))))/12</f>
        <v>8333.333333</v>
      </c>
      <c r="AL8" s="165">
        <f>IF(COLUMN()-1&lt;=4,'2_Inputs'!$B$65,IF(COLUMN()-1&lt;=16,'2_Inputs'!$B$66,IF(COLUMN()-1&lt;=28,'2_Inputs'!$B$67,IF(COLUMN()-1&lt;=40,'2_Inputs'!$B$68,'2_Inputs'!$B$69))))/12</f>
        <v>8333.333333</v>
      </c>
      <c r="AM8" s="165">
        <f>IF(COLUMN()-1&lt;=4,'2_Inputs'!$B$65,IF(COLUMN()-1&lt;=16,'2_Inputs'!$B$66,IF(COLUMN()-1&lt;=28,'2_Inputs'!$B$67,IF(COLUMN()-1&lt;=40,'2_Inputs'!$B$68,'2_Inputs'!$B$69))))/12</f>
        <v>8333.333333</v>
      </c>
      <c r="AN8" s="165">
        <f>IF(COLUMN()-1&lt;=4,'2_Inputs'!$B$65,IF(COLUMN()-1&lt;=16,'2_Inputs'!$B$66,IF(COLUMN()-1&lt;=28,'2_Inputs'!$B$67,IF(COLUMN()-1&lt;=40,'2_Inputs'!$B$68,'2_Inputs'!$B$69))))/12</f>
        <v>8333.333333</v>
      </c>
      <c r="AO8" s="165">
        <f>IF(COLUMN()-1&lt;=4,'2_Inputs'!$B$65,IF(COLUMN()-1&lt;=16,'2_Inputs'!$B$66,IF(COLUMN()-1&lt;=28,'2_Inputs'!$B$67,IF(COLUMN()-1&lt;=40,'2_Inputs'!$B$68,'2_Inputs'!$B$69))))/12</f>
        <v>8333.333333</v>
      </c>
      <c r="AP8" s="165">
        <f>IF(COLUMN()-1&lt;=4,'2_Inputs'!$B$65,IF(COLUMN()-1&lt;=16,'2_Inputs'!$B$66,IF(COLUMN()-1&lt;=28,'2_Inputs'!$B$67,IF(COLUMN()-1&lt;=40,'2_Inputs'!$B$68,'2_Inputs'!$B$69))))/12</f>
        <v>10000</v>
      </c>
      <c r="AQ8" s="165">
        <f>IF(COLUMN()-1&lt;=4,'2_Inputs'!$B$65,IF(COLUMN()-1&lt;=16,'2_Inputs'!$B$66,IF(COLUMN()-1&lt;=28,'2_Inputs'!$B$67,IF(COLUMN()-1&lt;=40,'2_Inputs'!$B$68,'2_Inputs'!$B$69))))/12</f>
        <v>10000</v>
      </c>
      <c r="AR8" s="165">
        <f>IF(COLUMN()-1&lt;=4,'2_Inputs'!$B$65,IF(COLUMN()-1&lt;=16,'2_Inputs'!$B$66,IF(COLUMN()-1&lt;=28,'2_Inputs'!$B$67,IF(COLUMN()-1&lt;=40,'2_Inputs'!$B$68,'2_Inputs'!$B$69))))/12</f>
        <v>10000</v>
      </c>
      <c r="AS8" s="165">
        <f>IF(COLUMN()-1&lt;=4,'2_Inputs'!$B$65,IF(COLUMN()-1&lt;=16,'2_Inputs'!$B$66,IF(COLUMN()-1&lt;=28,'2_Inputs'!$B$67,IF(COLUMN()-1&lt;=40,'2_Inputs'!$B$68,'2_Inputs'!$B$69))))/12</f>
        <v>10000</v>
      </c>
      <c r="AT8" s="165">
        <f>IF(COLUMN()-1&lt;=4,'2_Inputs'!$B$65,IF(COLUMN()-1&lt;=16,'2_Inputs'!$B$66,IF(COLUMN()-1&lt;=28,'2_Inputs'!$B$67,IF(COLUMN()-1&lt;=40,'2_Inputs'!$B$68,'2_Inputs'!$B$69))))/12</f>
        <v>10000</v>
      </c>
      <c r="AU8" s="165">
        <f>IF(COLUMN()-1&lt;=4,'2_Inputs'!$B$65,IF(COLUMN()-1&lt;=16,'2_Inputs'!$B$66,IF(COLUMN()-1&lt;=28,'2_Inputs'!$B$67,IF(COLUMN()-1&lt;=40,'2_Inputs'!$B$68,'2_Inputs'!$B$69))))/12</f>
        <v>10000</v>
      </c>
      <c r="AV8" s="165">
        <f>IF(COLUMN()-1&lt;=4,'2_Inputs'!$B$65,IF(COLUMN()-1&lt;=16,'2_Inputs'!$B$66,IF(COLUMN()-1&lt;=28,'2_Inputs'!$B$67,IF(COLUMN()-1&lt;=40,'2_Inputs'!$B$68,'2_Inputs'!$B$69))))/12</f>
        <v>10000</v>
      </c>
      <c r="AW8" s="165">
        <f>IF(COLUMN()-1&lt;=4,'2_Inputs'!$B$65,IF(COLUMN()-1&lt;=16,'2_Inputs'!$B$66,IF(COLUMN()-1&lt;=28,'2_Inputs'!$B$67,IF(COLUMN()-1&lt;=40,'2_Inputs'!$B$68,'2_Inputs'!$B$69))))/12</f>
        <v>10000</v>
      </c>
      <c r="AX8" s="165">
        <f>IF(COLUMN()-1&lt;=4,'2_Inputs'!$B$65,IF(COLUMN()-1&lt;=16,'2_Inputs'!$B$66,IF(COLUMN()-1&lt;=28,'2_Inputs'!$B$67,IF(COLUMN()-1&lt;=40,'2_Inputs'!$B$68,'2_Inputs'!$B$69))))/12</f>
        <v>10000</v>
      </c>
      <c r="AY8" s="165">
        <f>IF(COLUMN()-1&lt;=4,'2_Inputs'!$B$65,IF(COLUMN()-1&lt;=16,'2_Inputs'!$B$66,IF(COLUMN()-1&lt;=28,'2_Inputs'!$B$67,IF(COLUMN()-1&lt;=40,'2_Inputs'!$B$68,'2_Inputs'!$B$69))))/12</f>
        <v>10000</v>
      </c>
      <c r="AZ8" s="165">
        <f>IF(COLUMN()-1&lt;=4,'2_Inputs'!$B$65,IF(COLUMN()-1&lt;=16,'2_Inputs'!$B$66,IF(COLUMN()-1&lt;=28,'2_Inputs'!$B$67,IF(COLUMN()-1&lt;=40,'2_Inputs'!$B$68,'2_Inputs'!$B$69))))/12</f>
        <v>10000</v>
      </c>
      <c r="BA8" s="165">
        <f>IF(COLUMN()-1&lt;=4,'2_Inputs'!$B$65,IF(COLUMN()-1&lt;=16,'2_Inputs'!$B$66,IF(COLUMN()-1&lt;=28,'2_Inputs'!$B$67,IF(COLUMN()-1&lt;=40,'2_Inputs'!$B$68,'2_Inputs'!$B$69))))/12</f>
        <v>10000</v>
      </c>
    </row>
    <row r="9" ht="14.25" customHeight="1">
      <c r="A9" s="8" t="s">
        <v>650</v>
      </c>
      <c r="B9" s="166">
        <f t="shared" ref="B9:BA9" si="1">SUM(B6:B8)</f>
        <v>0</v>
      </c>
      <c r="C9" s="166">
        <f t="shared" si="1"/>
        <v>0</v>
      </c>
      <c r="D9" s="166">
        <f t="shared" si="1"/>
        <v>0</v>
      </c>
      <c r="E9" s="166">
        <f t="shared" si="1"/>
        <v>0</v>
      </c>
      <c r="F9" s="166">
        <f t="shared" si="1"/>
        <v>25000</v>
      </c>
      <c r="G9" s="166">
        <f t="shared" si="1"/>
        <v>25000</v>
      </c>
      <c r="H9" s="166">
        <f t="shared" si="1"/>
        <v>25000</v>
      </c>
      <c r="I9" s="166">
        <f t="shared" si="1"/>
        <v>25000</v>
      </c>
      <c r="J9" s="166">
        <f t="shared" si="1"/>
        <v>25000</v>
      </c>
      <c r="K9" s="166">
        <f t="shared" si="1"/>
        <v>25000</v>
      </c>
      <c r="L9" s="166">
        <f t="shared" si="1"/>
        <v>25000</v>
      </c>
      <c r="M9" s="166">
        <f t="shared" si="1"/>
        <v>25000</v>
      </c>
      <c r="N9" s="166">
        <f t="shared" si="1"/>
        <v>25000</v>
      </c>
      <c r="O9" s="166">
        <f t="shared" si="1"/>
        <v>25000</v>
      </c>
      <c r="P9" s="166">
        <f t="shared" si="1"/>
        <v>25000</v>
      </c>
      <c r="Q9" s="166">
        <f t="shared" si="1"/>
        <v>25000</v>
      </c>
      <c r="R9" s="166">
        <f t="shared" si="1"/>
        <v>25000</v>
      </c>
      <c r="S9" s="166">
        <f t="shared" si="1"/>
        <v>25000</v>
      </c>
      <c r="T9" s="166">
        <f t="shared" si="1"/>
        <v>25000</v>
      </c>
      <c r="U9" s="166">
        <f t="shared" si="1"/>
        <v>25000</v>
      </c>
      <c r="V9" s="166">
        <f t="shared" si="1"/>
        <v>25000</v>
      </c>
      <c r="W9" s="166">
        <f t="shared" si="1"/>
        <v>25000</v>
      </c>
      <c r="X9" s="166">
        <f t="shared" si="1"/>
        <v>25000</v>
      </c>
      <c r="Y9" s="166">
        <f t="shared" si="1"/>
        <v>25000</v>
      </c>
      <c r="Z9" s="166">
        <f t="shared" si="1"/>
        <v>25000</v>
      </c>
      <c r="AA9" s="166">
        <f t="shared" si="1"/>
        <v>25000</v>
      </c>
      <c r="AB9" s="166">
        <f t="shared" si="1"/>
        <v>25000</v>
      </c>
      <c r="AC9" s="166">
        <f t="shared" si="1"/>
        <v>25000</v>
      </c>
      <c r="AD9" s="166">
        <f t="shared" si="1"/>
        <v>25000</v>
      </c>
      <c r="AE9" s="166">
        <f t="shared" si="1"/>
        <v>25000</v>
      </c>
      <c r="AF9" s="166">
        <f t="shared" si="1"/>
        <v>25000</v>
      </c>
      <c r="AG9" s="166">
        <f t="shared" si="1"/>
        <v>25000</v>
      </c>
      <c r="AH9" s="166">
        <f t="shared" si="1"/>
        <v>25000</v>
      </c>
      <c r="AI9" s="166">
        <f t="shared" si="1"/>
        <v>25000</v>
      </c>
      <c r="AJ9" s="166">
        <f t="shared" si="1"/>
        <v>25000</v>
      </c>
      <c r="AK9" s="166">
        <f t="shared" si="1"/>
        <v>25000</v>
      </c>
      <c r="AL9" s="166">
        <f t="shared" si="1"/>
        <v>25000</v>
      </c>
      <c r="AM9" s="166">
        <f t="shared" si="1"/>
        <v>25000</v>
      </c>
      <c r="AN9" s="166">
        <f t="shared" si="1"/>
        <v>25000</v>
      </c>
      <c r="AO9" s="166">
        <f t="shared" si="1"/>
        <v>25000</v>
      </c>
      <c r="AP9" s="166">
        <f t="shared" si="1"/>
        <v>30000</v>
      </c>
      <c r="AQ9" s="166">
        <f t="shared" si="1"/>
        <v>30000</v>
      </c>
      <c r="AR9" s="166">
        <f t="shared" si="1"/>
        <v>30000</v>
      </c>
      <c r="AS9" s="166">
        <f t="shared" si="1"/>
        <v>30000</v>
      </c>
      <c r="AT9" s="166">
        <f t="shared" si="1"/>
        <v>30000</v>
      </c>
      <c r="AU9" s="166">
        <f t="shared" si="1"/>
        <v>30000</v>
      </c>
      <c r="AV9" s="166">
        <f t="shared" si="1"/>
        <v>30000</v>
      </c>
      <c r="AW9" s="166">
        <f t="shared" si="1"/>
        <v>30000</v>
      </c>
      <c r="AX9" s="166">
        <f t="shared" si="1"/>
        <v>30000</v>
      </c>
      <c r="AY9" s="166">
        <f t="shared" si="1"/>
        <v>30000</v>
      </c>
      <c r="AZ9" s="166">
        <f t="shared" si="1"/>
        <v>30000</v>
      </c>
      <c r="BA9" s="166">
        <f t="shared" si="1"/>
        <v>30000</v>
      </c>
    </row>
    <row r="10" ht="14.25" customHeight="1">
      <c r="A10" s="7" t="s">
        <v>651</v>
      </c>
      <c r="B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C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D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E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F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G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H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I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J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K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15555</v>
      </c>
      <c r="L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v>
      </c>
      <c r="M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v>
      </c>
      <c r="N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23142.38333</v>
      </c>
      <c r="O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P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Q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R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S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v>
      </c>
      <c r="T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47855.51667</v>
      </c>
      <c r="U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47855.51667</v>
      </c>
      <c r="V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55709.26667</v>
      </c>
      <c r="W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63877.16667</v>
      </c>
      <c r="X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63877.16667</v>
      </c>
      <c r="Y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69113</v>
      </c>
      <c r="Z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A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B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C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D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E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F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G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H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I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J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K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v>
      </c>
      <c r="AL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M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N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O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P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Q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R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S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T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U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V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W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81987.30681</v>
      </c>
      <c r="AX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AY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AZ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c r="BA10" s="167">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v>
      </c>
    </row>
    <row r="11" ht="14.25" customHeight="1">
      <c r="A11" s="7" t="s">
        <v>652</v>
      </c>
      <c r="B11" s="167">
        <v>0.0</v>
      </c>
      <c r="C11" s="167">
        <v>0.0</v>
      </c>
      <c r="D11" s="167">
        <v>0.0</v>
      </c>
      <c r="E11" s="167">
        <v>0.0</v>
      </c>
      <c r="F11" s="167">
        <v>0.0</v>
      </c>
      <c r="G11" s="167">
        <v>0.0</v>
      </c>
      <c r="H11" s="167">
        <v>0.0</v>
      </c>
      <c r="I11" s="167">
        <v>0.0</v>
      </c>
      <c r="J11" s="167">
        <v>0.0</v>
      </c>
      <c r="K11" s="167">
        <v>0.0</v>
      </c>
      <c r="L11" s="167">
        <v>0.0</v>
      </c>
      <c r="M11" s="167">
        <v>0.0</v>
      </c>
      <c r="N11" s="167">
        <v>0.0</v>
      </c>
      <c r="O11" s="167">
        <v>0.0</v>
      </c>
      <c r="P11" s="167">
        <v>0.0</v>
      </c>
      <c r="Q11" s="167">
        <v>0.0</v>
      </c>
      <c r="R11" s="167">
        <v>0.0</v>
      </c>
      <c r="S11" s="167">
        <v>0.0</v>
      </c>
      <c r="T11" s="167">
        <v>0.0</v>
      </c>
      <c r="U11" s="167">
        <v>0.0</v>
      </c>
      <c r="V11" s="167">
        <v>0.0</v>
      </c>
      <c r="W11" s="167">
        <v>0.0</v>
      </c>
      <c r="X11" s="167">
        <v>0.0</v>
      </c>
      <c r="Y11" s="167">
        <v>0.0</v>
      </c>
      <c r="Z11" s="167">
        <v>0.0</v>
      </c>
      <c r="AA11" s="167">
        <v>0.0</v>
      </c>
      <c r="AB11" s="167">
        <v>0.0</v>
      </c>
      <c r="AC11" s="167">
        <v>0.0</v>
      </c>
      <c r="AD11" s="167">
        <v>0.0</v>
      </c>
      <c r="AE11" s="167">
        <v>0.0</v>
      </c>
      <c r="AF11" s="167">
        <v>0.0</v>
      </c>
      <c r="AG11" s="167">
        <v>0.0</v>
      </c>
      <c r="AH11" s="167">
        <v>0.0</v>
      </c>
      <c r="AI11" s="167">
        <v>0.0</v>
      </c>
      <c r="AJ11" s="167">
        <v>0.0</v>
      </c>
      <c r="AK11" s="167">
        <v>0.0</v>
      </c>
      <c r="AL11" s="167">
        <v>0.0</v>
      </c>
      <c r="AM11" s="167">
        <v>0.0</v>
      </c>
      <c r="AN11" s="167">
        <v>0.0</v>
      </c>
      <c r="AO11" s="167">
        <v>0.0</v>
      </c>
      <c r="AP11" s="167">
        <v>0.0</v>
      </c>
      <c r="AQ11" s="167">
        <v>0.0</v>
      </c>
      <c r="AR11" s="167">
        <v>0.0</v>
      </c>
      <c r="AS11" s="167">
        <v>0.0</v>
      </c>
      <c r="AT11" s="167">
        <v>0.0</v>
      </c>
      <c r="AU11" s="167">
        <v>0.0</v>
      </c>
      <c r="AV11" s="167">
        <v>0.0</v>
      </c>
      <c r="AW11" s="167">
        <v>0.0</v>
      </c>
      <c r="AX11" s="167">
        <v>0.0</v>
      </c>
      <c r="AY11" s="167">
        <v>0.0</v>
      </c>
      <c r="AZ11" s="167">
        <v>0.0</v>
      </c>
      <c r="BA11" s="167">
        <v>0.0</v>
      </c>
    </row>
    <row r="12" ht="14.25" customHeight="1">
      <c r="A12" s="7" t="s">
        <v>653</v>
      </c>
      <c r="B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C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D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E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F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G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H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I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J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K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178</v>
      </c>
      <c r="L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M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N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O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P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Q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R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S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T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U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V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712</v>
      </c>
      <c r="W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X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Y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890</v>
      </c>
      <c r="Z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A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B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C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D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E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F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G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H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I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J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K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L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M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N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O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P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Q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R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S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T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U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V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W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X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Y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Z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BA12" s="167">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row>
    <row r="13" ht="14.25" customHeight="1">
      <c r="A13" s="8" t="s">
        <v>654</v>
      </c>
      <c r="B13" s="167">
        <f t="shared" ref="B13:BA13" si="2">SUM(B9:B12)</f>
        <v>0</v>
      </c>
      <c r="C13" s="167">
        <f t="shared" si="2"/>
        <v>0</v>
      </c>
      <c r="D13" s="167">
        <f t="shared" si="2"/>
        <v>0</v>
      </c>
      <c r="E13" s="167">
        <f t="shared" si="2"/>
        <v>0</v>
      </c>
      <c r="F13" s="167">
        <f t="shared" si="2"/>
        <v>25000</v>
      </c>
      <c r="G13" s="167">
        <f t="shared" si="2"/>
        <v>32714</v>
      </c>
      <c r="H13" s="167">
        <f t="shared" si="2"/>
        <v>32714</v>
      </c>
      <c r="I13" s="167">
        <f t="shared" si="2"/>
        <v>32714</v>
      </c>
      <c r="J13" s="167">
        <f t="shared" si="2"/>
        <v>32714</v>
      </c>
      <c r="K13" s="167">
        <f t="shared" si="2"/>
        <v>40733</v>
      </c>
      <c r="L13" s="167">
        <f t="shared" si="2"/>
        <v>47735.33333</v>
      </c>
      <c r="M13" s="167">
        <f t="shared" si="2"/>
        <v>47735.33333</v>
      </c>
      <c r="N13" s="167">
        <f t="shared" si="2"/>
        <v>48409.38333</v>
      </c>
      <c r="O13" s="167">
        <f t="shared" si="2"/>
        <v>58430.75</v>
      </c>
      <c r="P13" s="167">
        <f t="shared" si="2"/>
        <v>58430.75</v>
      </c>
      <c r="Q13" s="167">
        <f t="shared" si="2"/>
        <v>58430.75</v>
      </c>
      <c r="R13" s="167">
        <f t="shared" si="2"/>
        <v>58430.75</v>
      </c>
      <c r="S13" s="167">
        <f t="shared" si="2"/>
        <v>58430.75</v>
      </c>
      <c r="T13" s="167">
        <f t="shared" si="2"/>
        <v>73478.51667</v>
      </c>
      <c r="U13" s="167">
        <f t="shared" si="2"/>
        <v>73478.51667</v>
      </c>
      <c r="V13" s="167">
        <f t="shared" si="2"/>
        <v>81421.26667</v>
      </c>
      <c r="W13" s="167">
        <f t="shared" si="2"/>
        <v>89678.16667</v>
      </c>
      <c r="X13" s="167">
        <f t="shared" si="2"/>
        <v>89678.16667</v>
      </c>
      <c r="Y13" s="167">
        <f t="shared" si="2"/>
        <v>95003</v>
      </c>
      <c r="Z13" s="167">
        <f t="shared" si="2"/>
        <v>105578.327</v>
      </c>
      <c r="AA13" s="167">
        <f t="shared" si="2"/>
        <v>105578.327</v>
      </c>
      <c r="AB13" s="167">
        <f t="shared" si="2"/>
        <v>105578.327</v>
      </c>
      <c r="AC13" s="167">
        <f t="shared" si="2"/>
        <v>105578.327</v>
      </c>
      <c r="AD13" s="167">
        <f t="shared" si="2"/>
        <v>105578.327</v>
      </c>
      <c r="AE13" s="167">
        <f t="shared" si="2"/>
        <v>105578.327</v>
      </c>
      <c r="AF13" s="167">
        <f t="shared" si="2"/>
        <v>105578.327</v>
      </c>
      <c r="AG13" s="167">
        <f t="shared" si="2"/>
        <v>105578.327</v>
      </c>
      <c r="AH13" s="167">
        <f t="shared" si="2"/>
        <v>105578.327</v>
      </c>
      <c r="AI13" s="167">
        <f t="shared" si="2"/>
        <v>105578.327</v>
      </c>
      <c r="AJ13" s="167">
        <f t="shared" si="2"/>
        <v>105578.327</v>
      </c>
      <c r="AK13" s="167">
        <f t="shared" si="2"/>
        <v>105578.327</v>
      </c>
      <c r="AL13" s="167">
        <f t="shared" si="2"/>
        <v>107966.3068</v>
      </c>
      <c r="AM13" s="167">
        <f t="shared" si="2"/>
        <v>107966.3068</v>
      </c>
      <c r="AN13" s="167">
        <f t="shared" si="2"/>
        <v>107966.3068</v>
      </c>
      <c r="AO13" s="167">
        <f t="shared" si="2"/>
        <v>107966.3068</v>
      </c>
      <c r="AP13" s="167">
        <f t="shared" si="2"/>
        <v>112966.3068</v>
      </c>
      <c r="AQ13" s="167">
        <f t="shared" si="2"/>
        <v>112966.3068</v>
      </c>
      <c r="AR13" s="167">
        <f t="shared" si="2"/>
        <v>112966.3068</v>
      </c>
      <c r="AS13" s="167">
        <f t="shared" si="2"/>
        <v>112966.3068</v>
      </c>
      <c r="AT13" s="167">
        <f t="shared" si="2"/>
        <v>112966.3068</v>
      </c>
      <c r="AU13" s="167">
        <f t="shared" si="2"/>
        <v>112966.3068</v>
      </c>
      <c r="AV13" s="167">
        <f t="shared" si="2"/>
        <v>112966.3068</v>
      </c>
      <c r="AW13" s="167">
        <f t="shared" si="2"/>
        <v>112966.3068</v>
      </c>
      <c r="AX13" s="167">
        <f t="shared" si="2"/>
        <v>115425.926</v>
      </c>
      <c r="AY13" s="167">
        <f t="shared" si="2"/>
        <v>115425.926</v>
      </c>
      <c r="AZ13" s="167">
        <f t="shared" si="2"/>
        <v>115425.926</v>
      </c>
      <c r="BA13" s="167">
        <f t="shared" si="2"/>
        <v>115425.926</v>
      </c>
    </row>
    <row r="14" ht="14.25" customHeight="1">
      <c r="A14" s="153" t="s">
        <v>655</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row>
    <row r="15" ht="14.25" customHeight="1">
      <c r="A15" s="7" t="s">
        <v>656</v>
      </c>
      <c r="B15" s="167">
        <f>'2_Inputs'!$B$88*'4_Revenue'!B8+'2_Inputs'!$B$89*'4_Revenue'!B15+'2_Inputs'!$B$90*'4_Revenue'!B21</f>
        <v>0</v>
      </c>
      <c r="C15" s="167">
        <f>'2_Inputs'!$B$88*'4_Revenue'!C8+'2_Inputs'!$B$89*'4_Revenue'!C15+'2_Inputs'!$B$90*'4_Revenue'!C21</f>
        <v>0</v>
      </c>
      <c r="D15" s="167">
        <f>'2_Inputs'!$B$88*'4_Revenue'!D8+'2_Inputs'!$B$89*'4_Revenue'!D15+'2_Inputs'!$B$90*'4_Revenue'!D21</f>
        <v>0</v>
      </c>
      <c r="E15" s="167">
        <f>'2_Inputs'!$B$88*'4_Revenue'!E8+'2_Inputs'!$B$89*'4_Revenue'!E15+'2_Inputs'!$B$90*'4_Revenue'!E21</f>
        <v>0</v>
      </c>
      <c r="F15" s="167">
        <f>'2_Inputs'!$B$88*'4_Revenue'!F8+'2_Inputs'!$B$89*'4_Revenue'!F15+'2_Inputs'!$B$90*'4_Revenue'!F21</f>
        <v>0</v>
      </c>
      <c r="G15" s="167">
        <f>'2_Inputs'!$B$88*'4_Revenue'!G8+'2_Inputs'!$B$89*'4_Revenue'!G15+'2_Inputs'!$B$90*'4_Revenue'!G21</f>
        <v>0</v>
      </c>
      <c r="H15" s="167">
        <f>'2_Inputs'!$B$88*'4_Revenue'!H8+'2_Inputs'!$B$89*'4_Revenue'!H15+'2_Inputs'!$B$90*'4_Revenue'!H21</f>
        <v>540</v>
      </c>
      <c r="I15" s="167">
        <f>'2_Inputs'!$B$88*'4_Revenue'!I8+'2_Inputs'!$B$89*'4_Revenue'!I15+'2_Inputs'!$B$90*'4_Revenue'!I21</f>
        <v>540</v>
      </c>
      <c r="J15" s="167">
        <f>'2_Inputs'!$B$88*'4_Revenue'!J8+'2_Inputs'!$B$89*'4_Revenue'!J15+'2_Inputs'!$B$90*'4_Revenue'!J21</f>
        <v>540</v>
      </c>
      <c r="K15" s="167">
        <f>'2_Inputs'!$B$88*'4_Revenue'!K8+'2_Inputs'!$B$89*'4_Revenue'!K15+'2_Inputs'!$B$90*'4_Revenue'!K21</f>
        <v>540</v>
      </c>
      <c r="L15" s="167">
        <f>'2_Inputs'!$B$88*'4_Revenue'!L8+'2_Inputs'!$B$89*'4_Revenue'!L15+'2_Inputs'!$B$90*'4_Revenue'!L21</f>
        <v>1080</v>
      </c>
      <c r="M15" s="167">
        <f>'2_Inputs'!$B$88*'4_Revenue'!M8+'2_Inputs'!$B$89*'4_Revenue'!M15+'2_Inputs'!$B$90*'4_Revenue'!M21</f>
        <v>1080</v>
      </c>
      <c r="N15" s="167">
        <f>'2_Inputs'!$B$88*'4_Revenue'!N8+'2_Inputs'!$B$89*'4_Revenue'!N15+'2_Inputs'!$B$90*'4_Revenue'!N21</f>
        <v>1620</v>
      </c>
      <c r="O15" s="167">
        <f>'2_Inputs'!$B$88*'4_Revenue'!O8+'2_Inputs'!$B$89*'4_Revenue'!O15+'2_Inputs'!$B$90*'4_Revenue'!O21</f>
        <v>1620</v>
      </c>
      <c r="P15" s="167">
        <f>'2_Inputs'!$B$88*'4_Revenue'!P8+'2_Inputs'!$B$89*'4_Revenue'!P15+'2_Inputs'!$B$90*'4_Revenue'!P21</f>
        <v>1620</v>
      </c>
      <c r="Q15" s="167">
        <f>'2_Inputs'!$B$88*'4_Revenue'!Q8+'2_Inputs'!$B$89*'4_Revenue'!Q15+'2_Inputs'!$B$90*'4_Revenue'!Q21</f>
        <v>1620</v>
      </c>
      <c r="R15" s="167">
        <f>'2_Inputs'!$B$88*'4_Revenue'!R8+'2_Inputs'!$B$89*'4_Revenue'!R15+'2_Inputs'!$B$90*'4_Revenue'!R21</f>
        <v>1620</v>
      </c>
      <c r="S15" s="167">
        <f>'2_Inputs'!$B$88*'4_Revenue'!S8+'2_Inputs'!$B$89*'4_Revenue'!S15+'2_Inputs'!$B$90*'4_Revenue'!S21</f>
        <v>3780</v>
      </c>
      <c r="T15" s="167">
        <f>'2_Inputs'!$B$88*'4_Revenue'!T8+'2_Inputs'!$B$89*'4_Revenue'!T15+'2_Inputs'!$B$90*'4_Revenue'!T21</f>
        <v>7020</v>
      </c>
      <c r="U15" s="167">
        <f>'2_Inputs'!$B$88*'4_Revenue'!U8+'2_Inputs'!$B$89*'4_Revenue'!U15+'2_Inputs'!$B$90*'4_Revenue'!U21</f>
        <v>8100</v>
      </c>
      <c r="V15" s="167">
        <f>'2_Inputs'!$B$88*'4_Revenue'!V8+'2_Inputs'!$B$89*'4_Revenue'!V15+'2_Inputs'!$B$90*'4_Revenue'!V21</f>
        <v>10260</v>
      </c>
      <c r="W15" s="167">
        <f>'2_Inputs'!$B$88*'4_Revenue'!W8+'2_Inputs'!$B$89*'4_Revenue'!W15+'2_Inputs'!$B$90*'4_Revenue'!W21</f>
        <v>10260</v>
      </c>
      <c r="X15" s="167">
        <f>'2_Inputs'!$B$88*'4_Revenue'!X8+'2_Inputs'!$B$89*'4_Revenue'!X15+'2_Inputs'!$B$90*'4_Revenue'!X21</f>
        <v>16200</v>
      </c>
      <c r="Y15" s="167">
        <f>'2_Inputs'!$B$88*'4_Revenue'!Y8+'2_Inputs'!$B$89*'4_Revenue'!Y15+'2_Inputs'!$B$90*'4_Revenue'!Y21</f>
        <v>16560</v>
      </c>
      <c r="Z15" s="167">
        <f>'2_Inputs'!$B$88*'4_Revenue'!Z8+'2_Inputs'!$B$89*'4_Revenue'!Z15+'2_Inputs'!$B$90*'4_Revenue'!Z21</f>
        <v>20880</v>
      </c>
      <c r="AA15" s="167">
        <f>'2_Inputs'!$B$88*'4_Revenue'!AA8+'2_Inputs'!$B$89*'4_Revenue'!AA15+'2_Inputs'!$B$90*'4_Revenue'!AA21</f>
        <v>23490</v>
      </c>
      <c r="AB15" s="167">
        <f>'2_Inputs'!$B$88*'4_Revenue'!AB8+'2_Inputs'!$B$89*'4_Revenue'!AB15+'2_Inputs'!$B$90*'4_Revenue'!AB21</f>
        <v>23850</v>
      </c>
      <c r="AC15" s="167">
        <f>'2_Inputs'!$B$88*'4_Revenue'!AC8+'2_Inputs'!$B$89*'4_Revenue'!AC15+'2_Inputs'!$B$90*'4_Revenue'!AC21</f>
        <v>23760</v>
      </c>
      <c r="AD15" s="167">
        <f>'2_Inputs'!$B$88*'4_Revenue'!AD8+'2_Inputs'!$B$89*'4_Revenue'!AD15+'2_Inputs'!$B$90*'4_Revenue'!AD21</f>
        <v>23670</v>
      </c>
      <c r="AE15" s="167">
        <f>'2_Inputs'!$B$88*'4_Revenue'!AE8+'2_Inputs'!$B$89*'4_Revenue'!AE15+'2_Inputs'!$B$90*'4_Revenue'!AE21</f>
        <v>28350</v>
      </c>
      <c r="AF15" s="167">
        <f>'2_Inputs'!$B$88*'4_Revenue'!AF8+'2_Inputs'!$B$89*'4_Revenue'!AF15+'2_Inputs'!$B$90*'4_Revenue'!AF21</f>
        <v>30960</v>
      </c>
      <c r="AG15" s="167">
        <f>'2_Inputs'!$B$88*'4_Revenue'!AG8+'2_Inputs'!$B$89*'4_Revenue'!AG15+'2_Inputs'!$B$90*'4_Revenue'!AG21</f>
        <v>35190</v>
      </c>
      <c r="AH15" s="167">
        <f>'2_Inputs'!$B$88*'4_Revenue'!AH8+'2_Inputs'!$B$89*'4_Revenue'!AH15+'2_Inputs'!$B$90*'4_Revenue'!AH21</f>
        <v>43110</v>
      </c>
      <c r="AI15" s="167">
        <f>'2_Inputs'!$B$88*'4_Revenue'!AI8+'2_Inputs'!$B$89*'4_Revenue'!AI15+'2_Inputs'!$B$90*'4_Revenue'!AI21</f>
        <v>42930</v>
      </c>
      <c r="AJ15" s="167">
        <f>'2_Inputs'!$B$88*'4_Revenue'!AJ8+'2_Inputs'!$B$89*'4_Revenue'!AJ15+'2_Inputs'!$B$90*'4_Revenue'!AJ21</f>
        <v>47070</v>
      </c>
      <c r="AK15" s="167">
        <f>'2_Inputs'!$B$88*'4_Revenue'!AK8+'2_Inputs'!$B$89*'4_Revenue'!AK15+'2_Inputs'!$B$90*'4_Revenue'!AK21</f>
        <v>48330</v>
      </c>
      <c r="AL15" s="167">
        <f>'2_Inputs'!$B$88*'4_Revenue'!AL8+'2_Inputs'!$B$89*'4_Revenue'!AL15+'2_Inputs'!$B$90*'4_Revenue'!AL21</f>
        <v>49680</v>
      </c>
      <c r="AM15" s="167">
        <f>'2_Inputs'!$B$88*'4_Revenue'!AM8+'2_Inputs'!$B$89*'4_Revenue'!AM15+'2_Inputs'!$B$90*'4_Revenue'!AM21</f>
        <v>57510</v>
      </c>
      <c r="AN15" s="167">
        <f>'2_Inputs'!$B$88*'4_Revenue'!AN8+'2_Inputs'!$B$89*'4_Revenue'!AN15+'2_Inputs'!$B$90*'4_Revenue'!AN21</f>
        <v>61560</v>
      </c>
      <c r="AO15" s="167">
        <f>'2_Inputs'!$B$88*'4_Revenue'!AO8+'2_Inputs'!$B$89*'4_Revenue'!AO15+'2_Inputs'!$B$90*'4_Revenue'!AO21</f>
        <v>66150</v>
      </c>
      <c r="AP15" s="167">
        <f>'2_Inputs'!$B$88*'4_Revenue'!AP8+'2_Inputs'!$B$89*'4_Revenue'!AP15+'2_Inputs'!$B$90*'4_Revenue'!AP21</f>
        <v>72360</v>
      </c>
      <c r="AQ15" s="167">
        <f>'2_Inputs'!$B$88*'4_Revenue'!AQ8+'2_Inputs'!$B$89*'4_Revenue'!AQ15+'2_Inputs'!$B$90*'4_Revenue'!AQ21</f>
        <v>81090</v>
      </c>
      <c r="AR15" s="167">
        <f>'2_Inputs'!$B$88*'4_Revenue'!AR8+'2_Inputs'!$B$89*'4_Revenue'!AR15+'2_Inputs'!$B$90*'4_Revenue'!AR21</f>
        <v>87210</v>
      </c>
      <c r="AS15" s="167">
        <f>'2_Inputs'!$B$88*'4_Revenue'!AS8+'2_Inputs'!$B$89*'4_Revenue'!AS15+'2_Inputs'!$B$90*'4_Revenue'!AS21</f>
        <v>92790</v>
      </c>
      <c r="AT15" s="167">
        <f>'2_Inputs'!$B$88*'4_Revenue'!AT8+'2_Inputs'!$B$89*'4_Revenue'!AT15+'2_Inputs'!$B$90*'4_Revenue'!AT21</f>
        <v>100440</v>
      </c>
      <c r="AU15" s="167">
        <f>'2_Inputs'!$B$88*'4_Revenue'!AU8+'2_Inputs'!$B$89*'4_Revenue'!AU15+'2_Inputs'!$B$90*'4_Revenue'!AU21</f>
        <v>107100</v>
      </c>
      <c r="AV15" s="167">
        <f>'2_Inputs'!$B$88*'4_Revenue'!AV8+'2_Inputs'!$B$89*'4_Revenue'!AV15+'2_Inputs'!$B$90*'4_Revenue'!AV21</f>
        <v>114300</v>
      </c>
      <c r="AW15" s="167">
        <f>'2_Inputs'!$B$88*'4_Revenue'!AW8+'2_Inputs'!$B$89*'4_Revenue'!AW15+'2_Inputs'!$B$90*'4_Revenue'!AW21</f>
        <v>119070</v>
      </c>
      <c r="AX15" s="167">
        <f>'2_Inputs'!$B$88*'4_Revenue'!AX8+'2_Inputs'!$B$89*'4_Revenue'!AX15+'2_Inputs'!$B$90*'4_Revenue'!AX21</f>
        <v>127170</v>
      </c>
      <c r="AY15" s="167">
        <f>'2_Inputs'!$B$88*'4_Revenue'!AY8+'2_Inputs'!$B$89*'4_Revenue'!AY15+'2_Inputs'!$B$90*'4_Revenue'!AY21</f>
        <v>135720</v>
      </c>
      <c r="AZ15" s="167">
        <f>'2_Inputs'!$B$88*'4_Revenue'!AZ8+'2_Inputs'!$B$89*'4_Revenue'!AZ15+'2_Inputs'!$B$90*'4_Revenue'!AZ21</f>
        <v>142650</v>
      </c>
      <c r="BA15" s="167">
        <f>'2_Inputs'!$B$88*'4_Revenue'!BA8+'2_Inputs'!$B$89*'4_Revenue'!BA15+'2_Inputs'!$B$90*'4_Revenue'!BA21</f>
        <v>150210</v>
      </c>
    </row>
    <row r="16" ht="14.25" customHeight="1">
      <c r="A16" s="7" t="s">
        <v>657</v>
      </c>
      <c r="B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C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D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E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F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300</v>
      </c>
      <c r="G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H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I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J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K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500</v>
      </c>
      <c r="L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M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N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O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P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Q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R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S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T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U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V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2200</v>
      </c>
      <c r="W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X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Y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2600</v>
      </c>
      <c r="Z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A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B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C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D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E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F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G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H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I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J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K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L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M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N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O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P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Q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R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S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T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U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V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W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X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Y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Z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BA16" s="167">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row>
    <row r="17" ht="14.25" customHeight="1">
      <c r="A17" s="7" t="s">
        <v>658</v>
      </c>
      <c r="B17" s="167">
        <f>IF(COLUMN()-1&lt;=4,'2_Inputs'!$B$98,IF(COLUMN()-1&lt;=16,'2_Inputs'!$B$99,IF(COLUMN()-1&lt;=28,'2_Inputs'!$B$100,IF(COLUMN()-1&lt;=40,'2_Inputs'!$B$101,'2_Inputs'!$B$102))))</f>
        <v>0</v>
      </c>
      <c r="C17" s="167">
        <f>IF(COLUMN()-1&lt;=4,'2_Inputs'!$B$98,IF(COLUMN()-1&lt;=16,'2_Inputs'!$B$99,IF(COLUMN()-1&lt;=28,'2_Inputs'!$B$100,IF(COLUMN()-1&lt;=40,'2_Inputs'!$B$101,'2_Inputs'!$B$102))))</f>
        <v>0</v>
      </c>
      <c r="D17" s="167">
        <f>IF(COLUMN()-1&lt;=4,'2_Inputs'!$B$98,IF(COLUMN()-1&lt;=16,'2_Inputs'!$B$99,IF(COLUMN()-1&lt;=28,'2_Inputs'!$B$100,IF(COLUMN()-1&lt;=40,'2_Inputs'!$B$101,'2_Inputs'!$B$102))))</f>
        <v>0</v>
      </c>
      <c r="E17" s="167">
        <f>IF(COLUMN()-1&lt;=4,'2_Inputs'!$B$98,IF(COLUMN()-1&lt;=16,'2_Inputs'!$B$99,IF(COLUMN()-1&lt;=28,'2_Inputs'!$B$100,IF(COLUMN()-1&lt;=40,'2_Inputs'!$B$101,'2_Inputs'!$B$102))))</f>
        <v>0</v>
      </c>
      <c r="F17" s="167">
        <f>IF(COLUMN()-1&lt;=4,'2_Inputs'!$B$98,IF(COLUMN()-1&lt;=16,'2_Inputs'!$B$99,IF(COLUMN()-1&lt;=28,'2_Inputs'!$B$100,IF(COLUMN()-1&lt;=40,'2_Inputs'!$B$101,'2_Inputs'!$B$102))))</f>
        <v>400</v>
      </c>
      <c r="G17" s="167">
        <f>IF(COLUMN()-1&lt;=4,'2_Inputs'!$B$98,IF(COLUMN()-1&lt;=16,'2_Inputs'!$B$99,IF(COLUMN()-1&lt;=28,'2_Inputs'!$B$100,IF(COLUMN()-1&lt;=40,'2_Inputs'!$B$101,'2_Inputs'!$B$102))))</f>
        <v>400</v>
      </c>
      <c r="H17" s="167">
        <f>IF(COLUMN()-1&lt;=4,'2_Inputs'!$B$98,IF(COLUMN()-1&lt;=16,'2_Inputs'!$B$99,IF(COLUMN()-1&lt;=28,'2_Inputs'!$B$100,IF(COLUMN()-1&lt;=40,'2_Inputs'!$B$101,'2_Inputs'!$B$102))))</f>
        <v>400</v>
      </c>
      <c r="I17" s="167">
        <f>IF(COLUMN()-1&lt;=4,'2_Inputs'!$B$98,IF(COLUMN()-1&lt;=16,'2_Inputs'!$B$99,IF(COLUMN()-1&lt;=28,'2_Inputs'!$B$100,IF(COLUMN()-1&lt;=40,'2_Inputs'!$B$101,'2_Inputs'!$B$102))))</f>
        <v>400</v>
      </c>
      <c r="J17" s="167">
        <f>IF(COLUMN()-1&lt;=4,'2_Inputs'!$B$98,IF(COLUMN()-1&lt;=16,'2_Inputs'!$B$99,IF(COLUMN()-1&lt;=28,'2_Inputs'!$B$100,IF(COLUMN()-1&lt;=40,'2_Inputs'!$B$101,'2_Inputs'!$B$102))))</f>
        <v>400</v>
      </c>
      <c r="K17" s="167">
        <f>IF(COLUMN()-1&lt;=4,'2_Inputs'!$B$98,IF(COLUMN()-1&lt;=16,'2_Inputs'!$B$99,IF(COLUMN()-1&lt;=28,'2_Inputs'!$B$100,IF(COLUMN()-1&lt;=40,'2_Inputs'!$B$101,'2_Inputs'!$B$102))))</f>
        <v>400</v>
      </c>
      <c r="L17" s="167">
        <f>IF(COLUMN()-1&lt;=4,'2_Inputs'!$B$98,IF(COLUMN()-1&lt;=16,'2_Inputs'!$B$99,IF(COLUMN()-1&lt;=28,'2_Inputs'!$B$100,IF(COLUMN()-1&lt;=40,'2_Inputs'!$B$101,'2_Inputs'!$B$102))))</f>
        <v>400</v>
      </c>
      <c r="M17" s="167">
        <f>IF(COLUMN()-1&lt;=4,'2_Inputs'!$B$98,IF(COLUMN()-1&lt;=16,'2_Inputs'!$B$99,IF(COLUMN()-1&lt;=28,'2_Inputs'!$B$100,IF(COLUMN()-1&lt;=40,'2_Inputs'!$B$101,'2_Inputs'!$B$102))))</f>
        <v>400</v>
      </c>
      <c r="N17" s="167">
        <f>IF(COLUMN()-1&lt;=4,'2_Inputs'!$B$98,IF(COLUMN()-1&lt;=16,'2_Inputs'!$B$99,IF(COLUMN()-1&lt;=28,'2_Inputs'!$B$100,IF(COLUMN()-1&lt;=40,'2_Inputs'!$B$101,'2_Inputs'!$B$102))))</f>
        <v>400</v>
      </c>
      <c r="O17" s="167">
        <f>IF(COLUMN()-1&lt;=4,'2_Inputs'!$B$98,IF(COLUMN()-1&lt;=16,'2_Inputs'!$B$99,IF(COLUMN()-1&lt;=28,'2_Inputs'!$B$100,IF(COLUMN()-1&lt;=40,'2_Inputs'!$B$101,'2_Inputs'!$B$102))))</f>
        <v>400</v>
      </c>
      <c r="P17" s="167">
        <f>IF(COLUMN()-1&lt;=4,'2_Inputs'!$B$98,IF(COLUMN()-1&lt;=16,'2_Inputs'!$B$99,IF(COLUMN()-1&lt;=28,'2_Inputs'!$B$100,IF(COLUMN()-1&lt;=40,'2_Inputs'!$B$101,'2_Inputs'!$B$102))))</f>
        <v>400</v>
      </c>
      <c r="Q17" s="167">
        <f>IF(COLUMN()-1&lt;=4,'2_Inputs'!$B$98,IF(COLUMN()-1&lt;=16,'2_Inputs'!$B$99,IF(COLUMN()-1&lt;=28,'2_Inputs'!$B$100,IF(COLUMN()-1&lt;=40,'2_Inputs'!$B$101,'2_Inputs'!$B$102))))</f>
        <v>400</v>
      </c>
      <c r="R17" s="167">
        <f>IF(COLUMN()-1&lt;=4,'2_Inputs'!$B$98,IF(COLUMN()-1&lt;=16,'2_Inputs'!$B$99,IF(COLUMN()-1&lt;=28,'2_Inputs'!$B$100,IF(COLUMN()-1&lt;=40,'2_Inputs'!$B$101,'2_Inputs'!$B$102))))</f>
        <v>800</v>
      </c>
      <c r="S17" s="167">
        <f>IF(COLUMN()-1&lt;=4,'2_Inputs'!$B$98,IF(COLUMN()-1&lt;=16,'2_Inputs'!$B$99,IF(COLUMN()-1&lt;=28,'2_Inputs'!$B$100,IF(COLUMN()-1&lt;=40,'2_Inputs'!$B$101,'2_Inputs'!$B$102))))</f>
        <v>800</v>
      </c>
      <c r="T17" s="167">
        <f>IF(COLUMN()-1&lt;=4,'2_Inputs'!$B$98,IF(COLUMN()-1&lt;=16,'2_Inputs'!$B$99,IF(COLUMN()-1&lt;=28,'2_Inputs'!$B$100,IF(COLUMN()-1&lt;=40,'2_Inputs'!$B$101,'2_Inputs'!$B$102))))</f>
        <v>800</v>
      </c>
      <c r="U17" s="167">
        <f>IF(COLUMN()-1&lt;=4,'2_Inputs'!$B$98,IF(COLUMN()-1&lt;=16,'2_Inputs'!$B$99,IF(COLUMN()-1&lt;=28,'2_Inputs'!$B$100,IF(COLUMN()-1&lt;=40,'2_Inputs'!$B$101,'2_Inputs'!$B$102))))</f>
        <v>800</v>
      </c>
      <c r="V17" s="167">
        <f>IF(COLUMN()-1&lt;=4,'2_Inputs'!$B$98,IF(COLUMN()-1&lt;=16,'2_Inputs'!$B$99,IF(COLUMN()-1&lt;=28,'2_Inputs'!$B$100,IF(COLUMN()-1&lt;=40,'2_Inputs'!$B$101,'2_Inputs'!$B$102))))</f>
        <v>800</v>
      </c>
      <c r="W17" s="167">
        <f>IF(COLUMN()-1&lt;=4,'2_Inputs'!$B$98,IF(COLUMN()-1&lt;=16,'2_Inputs'!$B$99,IF(COLUMN()-1&lt;=28,'2_Inputs'!$B$100,IF(COLUMN()-1&lt;=40,'2_Inputs'!$B$101,'2_Inputs'!$B$102))))</f>
        <v>800</v>
      </c>
      <c r="X17" s="167">
        <f>IF(COLUMN()-1&lt;=4,'2_Inputs'!$B$98,IF(COLUMN()-1&lt;=16,'2_Inputs'!$B$99,IF(COLUMN()-1&lt;=28,'2_Inputs'!$B$100,IF(COLUMN()-1&lt;=40,'2_Inputs'!$B$101,'2_Inputs'!$B$102))))</f>
        <v>800</v>
      </c>
      <c r="Y17" s="167">
        <f>IF(COLUMN()-1&lt;=4,'2_Inputs'!$B$98,IF(COLUMN()-1&lt;=16,'2_Inputs'!$B$99,IF(COLUMN()-1&lt;=28,'2_Inputs'!$B$100,IF(COLUMN()-1&lt;=40,'2_Inputs'!$B$101,'2_Inputs'!$B$102))))</f>
        <v>800</v>
      </c>
      <c r="Z17" s="167">
        <f>IF(COLUMN()-1&lt;=4,'2_Inputs'!$B$98,IF(COLUMN()-1&lt;=16,'2_Inputs'!$B$99,IF(COLUMN()-1&lt;=28,'2_Inputs'!$B$100,IF(COLUMN()-1&lt;=40,'2_Inputs'!$B$101,'2_Inputs'!$B$102))))</f>
        <v>800</v>
      </c>
      <c r="AA17" s="167">
        <f>IF(COLUMN()-1&lt;=4,'2_Inputs'!$B$98,IF(COLUMN()-1&lt;=16,'2_Inputs'!$B$99,IF(COLUMN()-1&lt;=28,'2_Inputs'!$B$100,IF(COLUMN()-1&lt;=40,'2_Inputs'!$B$101,'2_Inputs'!$B$102))))</f>
        <v>800</v>
      </c>
      <c r="AB17" s="167">
        <f>IF(COLUMN()-1&lt;=4,'2_Inputs'!$B$98,IF(COLUMN()-1&lt;=16,'2_Inputs'!$B$99,IF(COLUMN()-1&lt;=28,'2_Inputs'!$B$100,IF(COLUMN()-1&lt;=40,'2_Inputs'!$B$101,'2_Inputs'!$B$102))))</f>
        <v>800</v>
      </c>
      <c r="AC17" s="167">
        <f>IF(COLUMN()-1&lt;=4,'2_Inputs'!$B$98,IF(COLUMN()-1&lt;=16,'2_Inputs'!$B$99,IF(COLUMN()-1&lt;=28,'2_Inputs'!$B$100,IF(COLUMN()-1&lt;=40,'2_Inputs'!$B$101,'2_Inputs'!$B$102))))</f>
        <v>800</v>
      </c>
      <c r="AD17" s="167">
        <f>IF(COLUMN()-1&lt;=4,'2_Inputs'!$B$98,IF(COLUMN()-1&lt;=16,'2_Inputs'!$B$99,IF(COLUMN()-1&lt;=28,'2_Inputs'!$B$100,IF(COLUMN()-1&lt;=40,'2_Inputs'!$B$101,'2_Inputs'!$B$102))))</f>
        <v>1500</v>
      </c>
      <c r="AE17" s="167">
        <f>IF(COLUMN()-1&lt;=4,'2_Inputs'!$B$98,IF(COLUMN()-1&lt;=16,'2_Inputs'!$B$99,IF(COLUMN()-1&lt;=28,'2_Inputs'!$B$100,IF(COLUMN()-1&lt;=40,'2_Inputs'!$B$101,'2_Inputs'!$B$102))))</f>
        <v>1500</v>
      </c>
      <c r="AF17" s="167">
        <f>IF(COLUMN()-1&lt;=4,'2_Inputs'!$B$98,IF(COLUMN()-1&lt;=16,'2_Inputs'!$B$99,IF(COLUMN()-1&lt;=28,'2_Inputs'!$B$100,IF(COLUMN()-1&lt;=40,'2_Inputs'!$B$101,'2_Inputs'!$B$102))))</f>
        <v>1500</v>
      </c>
      <c r="AG17" s="167">
        <f>IF(COLUMN()-1&lt;=4,'2_Inputs'!$B$98,IF(COLUMN()-1&lt;=16,'2_Inputs'!$B$99,IF(COLUMN()-1&lt;=28,'2_Inputs'!$B$100,IF(COLUMN()-1&lt;=40,'2_Inputs'!$B$101,'2_Inputs'!$B$102))))</f>
        <v>1500</v>
      </c>
      <c r="AH17" s="167">
        <f>IF(COLUMN()-1&lt;=4,'2_Inputs'!$B$98,IF(COLUMN()-1&lt;=16,'2_Inputs'!$B$99,IF(COLUMN()-1&lt;=28,'2_Inputs'!$B$100,IF(COLUMN()-1&lt;=40,'2_Inputs'!$B$101,'2_Inputs'!$B$102))))</f>
        <v>1500</v>
      </c>
      <c r="AI17" s="167">
        <f>IF(COLUMN()-1&lt;=4,'2_Inputs'!$B$98,IF(COLUMN()-1&lt;=16,'2_Inputs'!$B$99,IF(COLUMN()-1&lt;=28,'2_Inputs'!$B$100,IF(COLUMN()-1&lt;=40,'2_Inputs'!$B$101,'2_Inputs'!$B$102))))</f>
        <v>1500</v>
      </c>
      <c r="AJ17" s="167">
        <f>IF(COLUMN()-1&lt;=4,'2_Inputs'!$B$98,IF(COLUMN()-1&lt;=16,'2_Inputs'!$B$99,IF(COLUMN()-1&lt;=28,'2_Inputs'!$B$100,IF(COLUMN()-1&lt;=40,'2_Inputs'!$B$101,'2_Inputs'!$B$102))))</f>
        <v>1500</v>
      </c>
      <c r="AK17" s="167">
        <f>IF(COLUMN()-1&lt;=4,'2_Inputs'!$B$98,IF(COLUMN()-1&lt;=16,'2_Inputs'!$B$99,IF(COLUMN()-1&lt;=28,'2_Inputs'!$B$100,IF(COLUMN()-1&lt;=40,'2_Inputs'!$B$101,'2_Inputs'!$B$102))))</f>
        <v>1500</v>
      </c>
      <c r="AL17" s="167">
        <f>IF(COLUMN()-1&lt;=4,'2_Inputs'!$B$98,IF(COLUMN()-1&lt;=16,'2_Inputs'!$B$99,IF(COLUMN()-1&lt;=28,'2_Inputs'!$B$100,IF(COLUMN()-1&lt;=40,'2_Inputs'!$B$101,'2_Inputs'!$B$102))))</f>
        <v>1500</v>
      </c>
      <c r="AM17" s="167">
        <f>IF(COLUMN()-1&lt;=4,'2_Inputs'!$B$98,IF(COLUMN()-1&lt;=16,'2_Inputs'!$B$99,IF(COLUMN()-1&lt;=28,'2_Inputs'!$B$100,IF(COLUMN()-1&lt;=40,'2_Inputs'!$B$101,'2_Inputs'!$B$102))))</f>
        <v>1500</v>
      </c>
      <c r="AN17" s="167">
        <f>IF(COLUMN()-1&lt;=4,'2_Inputs'!$B$98,IF(COLUMN()-1&lt;=16,'2_Inputs'!$B$99,IF(COLUMN()-1&lt;=28,'2_Inputs'!$B$100,IF(COLUMN()-1&lt;=40,'2_Inputs'!$B$101,'2_Inputs'!$B$102))))</f>
        <v>1500</v>
      </c>
      <c r="AO17" s="167">
        <f>IF(COLUMN()-1&lt;=4,'2_Inputs'!$B$98,IF(COLUMN()-1&lt;=16,'2_Inputs'!$B$99,IF(COLUMN()-1&lt;=28,'2_Inputs'!$B$100,IF(COLUMN()-1&lt;=40,'2_Inputs'!$B$101,'2_Inputs'!$B$102))))</f>
        <v>1500</v>
      </c>
      <c r="AP17" s="167">
        <f>IF(COLUMN()-1&lt;=4,'2_Inputs'!$B$98,IF(COLUMN()-1&lt;=16,'2_Inputs'!$B$99,IF(COLUMN()-1&lt;=28,'2_Inputs'!$B$100,IF(COLUMN()-1&lt;=40,'2_Inputs'!$B$101,'2_Inputs'!$B$102))))</f>
        <v>2500</v>
      </c>
      <c r="AQ17" s="167">
        <f>IF(COLUMN()-1&lt;=4,'2_Inputs'!$B$98,IF(COLUMN()-1&lt;=16,'2_Inputs'!$B$99,IF(COLUMN()-1&lt;=28,'2_Inputs'!$B$100,IF(COLUMN()-1&lt;=40,'2_Inputs'!$B$101,'2_Inputs'!$B$102))))</f>
        <v>2500</v>
      </c>
      <c r="AR17" s="167">
        <f>IF(COLUMN()-1&lt;=4,'2_Inputs'!$B$98,IF(COLUMN()-1&lt;=16,'2_Inputs'!$B$99,IF(COLUMN()-1&lt;=28,'2_Inputs'!$B$100,IF(COLUMN()-1&lt;=40,'2_Inputs'!$B$101,'2_Inputs'!$B$102))))</f>
        <v>2500</v>
      </c>
      <c r="AS17" s="167">
        <f>IF(COLUMN()-1&lt;=4,'2_Inputs'!$B$98,IF(COLUMN()-1&lt;=16,'2_Inputs'!$B$99,IF(COLUMN()-1&lt;=28,'2_Inputs'!$B$100,IF(COLUMN()-1&lt;=40,'2_Inputs'!$B$101,'2_Inputs'!$B$102))))</f>
        <v>2500</v>
      </c>
      <c r="AT17" s="167">
        <f>IF(COLUMN()-1&lt;=4,'2_Inputs'!$B$98,IF(COLUMN()-1&lt;=16,'2_Inputs'!$B$99,IF(COLUMN()-1&lt;=28,'2_Inputs'!$B$100,IF(COLUMN()-1&lt;=40,'2_Inputs'!$B$101,'2_Inputs'!$B$102))))</f>
        <v>2500</v>
      </c>
      <c r="AU17" s="167">
        <f>IF(COLUMN()-1&lt;=4,'2_Inputs'!$B$98,IF(COLUMN()-1&lt;=16,'2_Inputs'!$B$99,IF(COLUMN()-1&lt;=28,'2_Inputs'!$B$100,IF(COLUMN()-1&lt;=40,'2_Inputs'!$B$101,'2_Inputs'!$B$102))))</f>
        <v>2500</v>
      </c>
      <c r="AV17" s="167">
        <f>IF(COLUMN()-1&lt;=4,'2_Inputs'!$B$98,IF(COLUMN()-1&lt;=16,'2_Inputs'!$B$99,IF(COLUMN()-1&lt;=28,'2_Inputs'!$B$100,IF(COLUMN()-1&lt;=40,'2_Inputs'!$B$101,'2_Inputs'!$B$102))))</f>
        <v>2500</v>
      </c>
      <c r="AW17" s="167">
        <f>IF(COLUMN()-1&lt;=4,'2_Inputs'!$B$98,IF(COLUMN()-1&lt;=16,'2_Inputs'!$B$99,IF(COLUMN()-1&lt;=28,'2_Inputs'!$B$100,IF(COLUMN()-1&lt;=40,'2_Inputs'!$B$101,'2_Inputs'!$B$102))))</f>
        <v>2500</v>
      </c>
      <c r="AX17" s="167">
        <f>IF(COLUMN()-1&lt;=4,'2_Inputs'!$B$98,IF(COLUMN()-1&lt;=16,'2_Inputs'!$B$99,IF(COLUMN()-1&lt;=28,'2_Inputs'!$B$100,IF(COLUMN()-1&lt;=40,'2_Inputs'!$B$101,'2_Inputs'!$B$102))))</f>
        <v>2500</v>
      </c>
      <c r="AY17" s="167">
        <f>IF(COLUMN()-1&lt;=4,'2_Inputs'!$B$98,IF(COLUMN()-1&lt;=16,'2_Inputs'!$B$99,IF(COLUMN()-1&lt;=28,'2_Inputs'!$B$100,IF(COLUMN()-1&lt;=40,'2_Inputs'!$B$101,'2_Inputs'!$B$102))))</f>
        <v>2500</v>
      </c>
      <c r="AZ17" s="167">
        <f>IF(COLUMN()-1&lt;=4,'2_Inputs'!$B$98,IF(COLUMN()-1&lt;=16,'2_Inputs'!$B$99,IF(COLUMN()-1&lt;=28,'2_Inputs'!$B$100,IF(COLUMN()-1&lt;=40,'2_Inputs'!$B$101,'2_Inputs'!$B$102))))</f>
        <v>2500</v>
      </c>
      <c r="BA17" s="167">
        <f>IF(COLUMN()-1&lt;=4,'2_Inputs'!$B$98,IF(COLUMN()-1&lt;=16,'2_Inputs'!$B$99,IF(COLUMN()-1&lt;=28,'2_Inputs'!$B$100,IF(COLUMN()-1&lt;=40,'2_Inputs'!$B$101,'2_Inputs'!$B$102))))</f>
        <v>2500</v>
      </c>
    </row>
    <row r="18" ht="14.25" customHeight="1">
      <c r="A18" s="8" t="s">
        <v>659</v>
      </c>
      <c r="B18" s="167">
        <f t="shared" ref="B18:BA18" si="3">SUM(B15:B17)</f>
        <v>0</v>
      </c>
      <c r="C18" s="167">
        <f t="shared" si="3"/>
        <v>0</v>
      </c>
      <c r="D18" s="167">
        <f t="shared" si="3"/>
        <v>0</v>
      </c>
      <c r="E18" s="167">
        <f t="shared" si="3"/>
        <v>0</v>
      </c>
      <c r="F18" s="167">
        <f t="shared" si="3"/>
        <v>700</v>
      </c>
      <c r="G18" s="167">
        <f t="shared" si="3"/>
        <v>800</v>
      </c>
      <c r="H18" s="167">
        <f t="shared" si="3"/>
        <v>1340</v>
      </c>
      <c r="I18" s="167">
        <f t="shared" si="3"/>
        <v>1340</v>
      </c>
      <c r="J18" s="167">
        <f t="shared" si="3"/>
        <v>1340</v>
      </c>
      <c r="K18" s="167">
        <f t="shared" si="3"/>
        <v>1440</v>
      </c>
      <c r="L18" s="167">
        <f t="shared" si="3"/>
        <v>2080</v>
      </c>
      <c r="M18" s="167">
        <f t="shared" si="3"/>
        <v>2080</v>
      </c>
      <c r="N18" s="167">
        <f t="shared" si="3"/>
        <v>2620</v>
      </c>
      <c r="O18" s="167">
        <f t="shared" si="3"/>
        <v>2820</v>
      </c>
      <c r="P18" s="167">
        <f t="shared" si="3"/>
        <v>2820</v>
      </c>
      <c r="Q18" s="167">
        <f t="shared" si="3"/>
        <v>2820</v>
      </c>
      <c r="R18" s="167">
        <f t="shared" si="3"/>
        <v>4020</v>
      </c>
      <c r="S18" s="167">
        <f t="shared" si="3"/>
        <v>6180</v>
      </c>
      <c r="T18" s="167">
        <f t="shared" si="3"/>
        <v>9820</v>
      </c>
      <c r="U18" s="167">
        <f t="shared" si="3"/>
        <v>10900</v>
      </c>
      <c r="V18" s="167">
        <f t="shared" si="3"/>
        <v>13260</v>
      </c>
      <c r="W18" s="167">
        <f t="shared" si="3"/>
        <v>13460</v>
      </c>
      <c r="X18" s="167">
        <f t="shared" si="3"/>
        <v>19400</v>
      </c>
      <c r="Y18" s="167">
        <f t="shared" si="3"/>
        <v>19960</v>
      </c>
      <c r="Z18" s="167">
        <f t="shared" si="3"/>
        <v>24480</v>
      </c>
      <c r="AA18" s="167">
        <f t="shared" si="3"/>
        <v>27090</v>
      </c>
      <c r="AB18" s="167">
        <f t="shared" si="3"/>
        <v>27450</v>
      </c>
      <c r="AC18" s="167">
        <f t="shared" si="3"/>
        <v>27360</v>
      </c>
      <c r="AD18" s="167">
        <f t="shared" si="3"/>
        <v>28670</v>
      </c>
      <c r="AE18" s="167">
        <f t="shared" si="3"/>
        <v>33350</v>
      </c>
      <c r="AF18" s="167">
        <f t="shared" si="3"/>
        <v>35960</v>
      </c>
      <c r="AG18" s="167">
        <f t="shared" si="3"/>
        <v>40190</v>
      </c>
      <c r="AH18" s="167">
        <f t="shared" si="3"/>
        <v>48110</v>
      </c>
      <c r="AI18" s="167">
        <f t="shared" si="3"/>
        <v>47930</v>
      </c>
      <c r="AJ18" s="167">
        <f t="shared" si="3"/>
        <v>52070</v>
      </c>
      <c r="AK18" s="167">
        <f t="shared" si="3"/>
        <v>53330</v>
      </c>
      <c r="AL18" s="167">
        <f t="shared" si="3"/>
        <v>54680</v>
      </c>
      <c r="AM18" s="167">
        <f t="shared" si="3"/>
        <v>62510</v>
      </c>
      <c r="AN18" s="167">
        <f t="shared" si="3"/>
        <v>66560</v>
      </c>
      <c r="AO18" s="167">
        <f t="shared" si="3"/>
        <v>71150</v>
      </c>
      <c r="AP18" s="167">
        <f t="shared" si="3"/>
        <v>79060</v>
      </c>
      <c r="AQ18" s="167">
        <f t="shared" si="3"/>
        <v>87790</v>
      </c>
      <c r="AR18" s="167">
        <f t="shared" si="3"/>
        <v>93910</v>
      </c>
      <c r="AS18" s="167">
        <f t="shared" si="3"/>
        <v>99490</v>
      </c>
      <c r="AT18" s="167">
        <f t="shared" si="3"/>
        <v>107140</v>
      </c>
      <c r="AU18" s="167">
        <f t="shared" si="3"/>
        <v>113800</v>
      </c>
      <c r="AV18" s="167">
        <f t="shared" si="3"/>
        <v>121000</v>
      </c>
      <c r="AW18" s="167">
        <f t="shared" si="3"/>
        <v>125770</v>
      </c>
      <c r="AX18" s="167">
        <f t="shared" si="3"/>
        <v>133870</v>
      </c>
      <c r="AY18" s="167">
        <f t="shared" si="3"/>
        <v>142420</v>
      </c>
      <c r="AZ18" s="167">
        <f t="shared" si="3"/>
        <v>149350</v>
      </c>
      <c r="BA18" s="167">
        <f t="shared" si="3"/>
        <v>156910</v>
      </c>
    </row>
    <row r="19" ht="14.25" customHeight="1">
      <c r="A19" s="153" t="s">
        <v>660</v>
      </c>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row>
    <row r="20" ht="14.25" customHeight="1">
      <c r="A20" s="7" t="s">
        <v>661</v>
      </c>
      <c r="B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C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D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E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F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G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H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I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J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K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L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M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N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O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P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Q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R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S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T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U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V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W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X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Y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Z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A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B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C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D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E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F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G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H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I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J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K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L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M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N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O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P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Q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R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S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T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U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V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W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X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Y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Z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BA20" s="167">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row>
    <row r="21" ht="14.25" customHeight="1">
      <c r="A21" s="7" t="s">
        <v>662</v>
      </c>
      <c r="B21" s="167">
        <f>IF(COLUMN()-1&lt;=16,0,IF(COLUMN()-1&lt;=28,'2_Inputs'!$B$201,'2_Inputs'!$B$202))</f>
        <v>0</v>
      </c>
      <c r="C21" s="167">
        <f>IF(COLUMN()-1&lt;=16,0,IF(COLUMN()-1&lt;=28,'2_Inputs'!$B$201,'2_Inputs'!$B$202))</f>
        <v>0</v>
      </c>
      <c r="D21" s="167">
        <f>IF(COLUMN()-1&lt;=16,0,IF(COLUMN()-1&lt;=28,'2_Inputs'!$B$201,'2_Inputs'!$B$202))</f>
        <v>0</v>
      </c>
      <c r="E21" s="167">
        <f>IF(COLUMN()-1&lt;=16,0,IF(COLUMN()-1&lt;=28,'2_Inputs'!$B$201,'2_Inputs'!$B$202))</f>
        <v>0</v>
      </c>
      <c r="F21" s="167">
        <f>IF(COLUMN()-1&lt;=16,0,IF(COLUMN()-1&lt;=28,'2_Inputs'!$B$201,'2_Inputs'!$B$202))</f>
        <v>0</v>
      </c>
      <c r="G21" s="167">
        <f>IF(COLUMN()-1&lt;=16,0,IF(COLUMN()-1&lt;=28,'2_Inputs'!$B$201,'2_Inputs'!$B$202))</f>
        <v>0</v>
      </c>
      <c r="H21" s="167">
        <f>IF(COLUMN()-1&lt;=16,0,IF(COLUMN()-1&lt;=28,'2_Inputs'!$B$201,'2_Inputs'!$B$202))</f>
        <v>0</v>
      </c>
      <c r="I21" s="167">
        <f>IF(COLUMN()-1&lt;=16,0,IF(COLUMN()-1&lt;=28,'2_Inputs'!$B$201,'2_Inputs'!$B$202))</f>
        <v>0</v>
      </c>
      <c r="J21" s="167">
        <f>IF(COLUMN()-1&lt;=16,0,IF(COLUMN()-1&lt;=28,'2_Inputs'!$B$201,'2_Inputs'!$B$202))</f>
        <v>0</v>
      </c>
      <c r="K21" s="167">
        <f>IF(COLUMN()-1&lt;=16,0,IF(COLUMN()-1&lt;=28,'2_Inputs'!$B$201,'2_Inputs'!$B$202))</f>
        <v>0</v>
      </c>
      <c r="L21" s="167">
        <f>IF(COLUMN()-1&lt;=16,0,IF(COLUMN()-1&lt;=28,'2_Inputs'!$B$201,'2_Inputs'!$B$202))</f>
        <v>0</v>
      </c>
      <c r="M21" s="167">
        <f>IF(COLUMN()-1&lt;=16,0,IF(COLUMN()-1&lt;=28,'2_Inputs'!$B$201,'2_Inputs'!$B$202))</f>
        <v>0</v>
      </c>
      <c r="N21" s="167">
        <f>IF(COLUMN()-1&lt;=16,0,IF(COLUMN()-1&lt;=28,'2_Inputs'!$B$201,'2_Inputs'!$B$202))</f>
        <v>0</v>
      </c>
      <c r="O21" s="167">
        <f>IF(COLUMN()-1&lt;=16,0,IF(COLUMN()-1&lt;=28,'2_Inputs'!$B$201,'2_Inputs'!$B$202))</f>
        <v>0</v>
      </c>
      <c r="P21" s="167">
        <f>IF(COLUMN()-1&lt;=16,0,IF(COLUMN()-1&lt;=28,'2_Inputs'!$B$201,'2_Inputs'!$B$202))</f>
        <v>0</v>
      </c>
      <c r="Q21" s="167">
        <f>IF(COLUMN()-1&lt;=16,0,IF(COLUMN()-1&lt;=28,'2_Inputs'!$B$201,'2_Inputs'!$B$202))</f>
        <v>0</v>
      </c>
      <c r="R21" s="167">
        <f>IF(COLUMN()-1&lt;=16,0,IF(COLUMN()-1&lt;=28,'2_Inputs'!$B$201,'2_Inputs'!$B$202))</f>
        <v>3500</v>
      </c>
      <c r="S21" s="167">
        <f>IF(COLUMN()-1&lt;=16,0,IF(COLUMN()-1&lt;=28,'2_Inputs'!$B$201,'2_Inputs'!$B$202))</f>
        <v>3500</v>
      </c>
      <c r="T21" s="167">
        <f>IF(COLUMN()-1&lt;=16,0,IF(COLUMN()-1&lt;=28,'2_Inputs'!$B$201,'2_Inputs'!$B$202))</f>
        <v>3500</v>
      </c>
      <c r="U21" s="167">
        <f>IF(COLUMN()-1&lt;=16,0,IF(COLUMN()-1&lt;=28,'2_Inputs'!$B$201,'2_Inputs'!$B$202))</f>
        <v>3500</v>
      </c>
      <c r="V21" s="167">
        <f>IF(COLUMN()-1&lt;=16,0,IF(COLUMN()-1&lt;=28,'2_Inputs'!$B$201,'2_Inputs'!$B$202))</f>
        <v>3500</v>
      </c>
      <c r="W21" s="167">
        <f>IF(COLUMN()-1&lt;=16,0,IF(COLUMN()-1&lt;=28,'2_Inputs'!$B$201,'2_Inputs'!$B$202))</f>
        <v>3500</v>
      </c>
      <c r="X21" s="167">
        <f>IF(COLUMN()-1&lt;=16,0,IF(COLUMN()-1&lt;=28,'2_Inputs'!$B$201,'2_Inputs'!$B$202))</f>
        <v>3500</v>
      </c>
      <c r="Y21" s="167">
        <f>IF(COLUMN()-1&lt;=16,0,IF(COLUMN()-1&lt;=28,'2_Inputs'!$B$201,'2_Inputs'!$B$202))</f>
        <v>3500</v>
      </c>
      <c r="Z21" s="167">
        <f>IF(COLUMN()-1&lt;=16,0,IF(COLUMN()-1&lt;=28,'2_Inputs'!$B$201,'2_Inputs'!$B$202))</f>
        <v>3500</v>
      </c>
      <c r="AA21" s="167">
        <f>IF(COLUMN()-1&lt;=16,0,IF(COLUMN()-1&lt;=28,'2_Inputs'!$B$201,'2_Inputs'!$B$202))</f>
        <v>3500</v>
      </c>
      <c r="AB21" s="167">
        <f>IF(COLUMN()-1&lt;=16,0,IF(COLUMN()-1&lt;=28,'2_Inputs'!$B$201,'2_Inputs'!$B$202))</f>
        <v>3500</v>
      </c>
      <c r="AC21" s="167">
        <f>IF(COLUMN()-1&lt;=16,0,IF(COLUMN()-1&lt;=28,'2_Inputs'!$B$201,'2_Inputs'!$B$202))</f>
        <v>3500</v>
      </c>
      <c r="AD21" s="167">
        <f>IF(COLUMN()-1&lt;=16,0,IF(COLUMN()-1&lt;=28,'2_Inputs'!$B$201,'2_Inputs'!$B$202))</f>
        <v>4500</v>
      </c>
      <c r="AE21" s="167">
        <f>IF(COLUMN()-1&lt;=16,0,IF(COLUMN()-1&lt;=28,'2_Inputs'!$B$201,'2_Inputs'!$B$202))</f>
        <v>4500</v>
      </c>
      <c r="AF21" s="167">
        <f>IF(COLUMN()-1&lt;=16,0,IF(COLUMN()-1&lt;=28,'2_Inputs'!$B$201,'2_Inputs'!$B$202))</f>
        <v>4500</v>
      </c>
      <c r="AG21" s="167">
        <f>IF(COLUMN()-1&lt;=16,0,IF(COLUMN()-1&lt;=28,'2_Inputs'!$B$201,'2_Inputs'!$B$202))</f>
        <v>4500</v>
      </c>
      <c r="AH21" s="167">
        <f>IF(COLUMN()-1&lt;=16,0,IF(COLUMN()-1&lt;=28,'2_Inputs'!$B$201,'2_Inputs'!$B$202))</f>
        <v>4500</v>
      </c>
      <c r="AI21" s="167">
        <f>IF(COLUMN()-1&lt;=16,0,IF(COLUMN()-1&lt;=28,'2_Inputs'!$B$201,'2_Inputs'!$B$202))</f>
        <v>4500</v>
      </c>
      <c r="AJ21" s="167">
        <f>IF(COLUMN()-1&lt;=16,0,IF(COLUMN()-1&lt;=28,'2_Inputs'!$B$201,'2_Inputs'!$B$202))</f>
        <v>4500</v>
      </c>
      <c r="AK21" s="167">
        <f>IF(COLUMN()-1&lt;=16,0,IF(COLUMN()-1&lt;=28,'2_Inputs'!$B$201,'2_Inputs'!$B$202))</f>
        <v>4500</v>
      </c>
      <c r="AL21" s="167">
        <f>IF(COLUMN()-1&lt;=16,0,IF(COLUMN()-1&lt;=28,'2_Inputs'!$B$201,'2_Inputs'!$B$202))</f>
        <v>4500</v>
      </c>
      <c r="AM21" s="167">
        <f>IF(COLUMN()-1&lt;=16,0,IF(COLUMN()-1&lt;=28,'2_Inputs'!$B$201,'2_Inputs'!$B$202))</f>
        <v>4500</v>
      </c>
      <c r="AN21" s="167">
        <f>IF(COLUMN()-1&lt;=16,0,IF(COLUMN()-1&lt;=28,'2_Inputs'!$B$201,'2_Inputs'!$B$202))</f>
        <v>4500</v>
      </c>
      <c r="AO21" s="167">
        <f>IF(COLUMN()-1&lt;=16,0,IF(COLUMN()-1&lt;=28,'2_Inputs'!$B$201,'2_Inputs'!$B$202))</f>
        <v>4500</v>
      </c>
      <c r="AP21" s="167">
        <f>IF(COLUMN()-1&lt;=16,0,IF(COLUMN()-1&lt;=28,'2_Inputs'!$B$201,'2_Inputs'!$B$202))</f>
        <v>4500</v>
      </c>
      <c r="AQ21" s="167">
        <f>IF(COLUMN()-1&lt;=16,0,IF(COLUMN()-1&lt;=28,'2_Inputs'!$B$201,'2_Inputs'!$B$202))</f>
        <v>4500</v>
      </c>
      <c r="AR21" s="167">
        <f>IF(COLUMN()-1&lt;=16,0,IF(COLUMN()-1&lt;=28,'2_Inputs'!$B$201,'2_Inputs'!$B$202))</f>
        <v>4500</v>
      </c>
      <c r="AS21" s="167">
        <f>IF(COLUMN()-1&lt;=16,0,IF(COLUMN()-1&lt;=28,'2_Inputs'!$B$201,'2_Inputs'!$B$202))</f>
        <v>4500</v>
      </c>
      <c r="AT21" s="167">
        <f>IF(COLUMN()-1&lt;=16,0,IF(COLUMN()-1&lt;=28,'2_Inputs'!$B$201,'2_Inputs'!$B$202))</f>
        <v>4500</v>
      </c>
      <c r="AU21" s="167">
        <f>IF(COLUMN()-1&lt;=16,0,IF(COLUMN()-1&lt;=28,'2_Inputs'!$B$201,'2_Inputs'!$B$202))</f>
        <v>4500</v>
      </c>
      <c r="AV21" s="167">
        <f>IF(COLUMN()-1&lt;=16,0,IF(COLUMN()-1&lt;=28,'2_Inputs'!$B$201,'2_Inputs'!$B$202))</f>
        <v>4500</v>
      </c>
      <c r="AW21" s="167">
        <f>IF(COLUMN()-1&lt;=16,0,IF(COLUMN()-1&lt;=28,'2_Inputs'!$B$201,'2_Inputs'!$B$202))</f>
        <v>4500</v>
      </c>
      <c r="AX21" s="167">
        <f>IF(COLUMN()-1&lt;=16,0,IF(COLUMN()-1&lt;=28,'2_Inputs'!$B$201,'2_Inputs'!$B$202))</f>
        <v>4500</v>
      </c>
      <c r="AY21" s="167">
        <f>IF(COLUMN()-1&lt;=16,0,IF(COLUMN()-1&lt;=28,'2_Inputs'!$B$201,'2_Inputs'!$B$202))</f>
        <v>4500</v>
      </c>
      <c r="AZ21" s="167">
        <f>IF(COLUMN()-1&lt;=16,0,IF(COLUMN()-1&lt;=28,'2_Inputs'!$B$201,'2_Inputs'!$B$202))</f>
        <v>4500</v>
      </c>
      <c r="BA21" s="167">
        <f>IF(COLUMN()-1&lt;=16,0,IF(COLUMN()-1&lt;=28,'2_Inputs'!$B$201,'2_Inputs'!$B$202))</f>
        <v>4500</v>
      </c>
    </row>
    <row r="22" ht="14.25" customHeight="1">
      <c r="A22" s="7" t="s">
        <v>663</v>
      </c>
      <c r="B22" s="167">
        <f t="shared" ref="B22:BA22" si="4">IF(COLUMN()-1&gt;=17,450,0)</f>
        <v>0</v>
      </c>
      <c r="C22" s="167">
        <f t="shared" si="4"/>
        <v>0</v>
      </c>
      <c r="D22" s="167">
        <f t="shared" si="4"/>
        <v>0</v>
      </c>
      <c r="E22" s="167">
        <f t="shared" si="4"/>
        <v>0</v>
      </c>
      <c r="F22" s="167">
        <f t="shared" si="4"/>
        <v>0</v>
      </c>
      <c r="G22" s="167">
        <f t="shared" si="4"/>
        <v>0</v>
      </c>
      <c r="H22" s="167">
        <f t="shared" si="4"/>
        <v>0</v>
      </c>
      <c r="I22" s="167">
        <f t="shared" si="4"/>
        <v>0</v>
      </c>
      <c r="J22" s="167">
        <f t="shared" si="4"/>
        <v>0</v>
      </c>
      <c r="K22" s="167">
        <f t="shared" si="4"/>
        <v>0</v>
      </c>
      <c r="L22" s="167">
        <f t="shared" si="4"/>
        <v>0</v>
      </c>
      <c r="M22" s="167">
        <f t="shared" si="4"/>
        <v>0</v>
      </c>
      <c r="N22" s="167">
        <f t="shared" si="4"/>
        <v>0</v>
      </c>
      <c r="O22" s="167">
        <f t="shared" si="4"/>
        <v>0</v>
      </c>
      <c r="P22" s="167">
        <f t="shared" si="4"/>
        <v>0</v>
      </c>
      <c r="Q22" s="167">
        <f t="shared" si="4"/>
        <v>0</v>
      </c>
      <c r="R22" s="167">
        <f t="shared" si="4"/>
        <v>450</v>
      </c>
      <c r="S22" s="167">
        <f t="shared" si="4"/>
        <v>450</v>
      </c>
      <c r="T22" s="167">
        <f t="shared" si="4"/>
        <v>450</v>
      </c>
      <c r="U22" s="167">
        <f t="shared" si="4"/>
        <v>450</v>
      </c>
      <c r="V22" s="167">
        <f t="shared" si="4"/>
        <v>450</v>
      </c>
      <c r="W22" s="167">
        <f t="shared" si="4"/>
        <v>450</v>
      </c>
      <c r="X22" s="167">
        <f t="shared" si="4"/>
        <v>450</v>
      </c>
      <c r="Y22" s="167">
        <f t="shared" si="4"/>
        <v>450</v>
      </c>
      <c r="Z22" s="167">
        <f t="shared" si="4"/>
        <v>450</v>
      </c>
      <c r="AA22" s="167">
        <f t="shared" si="4"/>
        <v>450</v>
      </c>
      <c r="AB22" s="167">
        <f t="shared" si="4"/>
        <v>450</v>
      </c>
      <c r="AC22" s="167">
        <f t="shared" si="4"/>
        <v>450</v>
      </c>
      <c r="AD22" s="167">
        <f t="shared" si="4"/>
        <v>450</v>
      </c>
      <c r="AE22" s="167">
        <f t="shared" si="4"/>
        <v>450</v>
      </c>
      <c r="AF22" s="167">
        <f t="shared" si="4"/>
        <v>450</v>
      </c>
      <c r="AG22" s="167">
        <f t="shared" si="4"/>
        <v>450</v>
      </c>
      <c r="AH22" s="167">
        <f t="shared" si="4"/>
        <v>450</v>
      </c>
      <c r="AI22" s="167">
        <f t="shared" si="4"/>
        <v>450</v>
      </c>
      <c r="AJ22" s="167">
        <f t="shared" si="4"/>
        <v>450</v>
      </c>
      <c r="AK22" s="167">
        <f t="shared" si="4"/>
        <v>450</v>
      </c>
      <c r="AL22" s="167">
        <f t="shared" si="4"/>
        <v>450</v>
      </c>
      <c r="AM22" s="167">
        <f t="shared" si="4"/>
        <v>450</v>
      </c>
      <c r="AN22" s="167">
        <f t="shared" si="4"/>
        <v>450</v>
      </c>
      <c r="AO22" s="167">
        <f t="shared" si="4"/>
        <v>450</v>
      </c>
      <c r="AP22" s="167">
        <f t="shared" si="4"/>
        <v>450</v>
      </c>
      <c r="AQ22" s="167">
        <f t="shared" si="4"/>
        <v>450</v>
      </c>
      <c r="AR22" s="167">
        <f t="shared" si="4"/>
        <v>450</v>
      </c>
      <c r="AS22" s="167">
        <f t="shared" si="4"/>
        <v>450</v>
      </c>
      <c r="AT22" s="167">
        <f t="shared" si="4"/>
        <v>450</v>
      </c>
      <c r="AU22" s="167">
        <f t="shared" si="4"/>
        <v>450</v>
      </c>
      <c r="AV22" s="167">
        <f t="shared" si="4"/>
        <v>450</v>
      </c>
      <c r="AW22" s="167">
        <f t="shared" si="4"/>
        <v>450</v>
      </c>
      <c r="AX22" s="167">
        <f t="shared" si="4"/>
        <v>450</v>
      </c>
      <c r="AY22" s="167">
        <f t="shared" si="4"/>
        <v>450</v>
      </c>
      <c r="AZ22" s="167">
        <f t="shared" si="4"/>
        <v>450</v>
      </c>
      <c r="BA22" s="167">
        <f t="shared" si="4"/>
        <v>450</v>
      </c>
    </row>
    <row r="23" ht="14.25" customHeight="1">
      <c r="A23" s="7" t="s">
        <v>664</v>
      </c>
      <c r="B23" s="167">
        <f t="shared" ref="B23:BA23" si="5">IF(COLUMN()-1&gt;=17,30*3,0)</f>
        <v>0</v>
      </c>
      <c r="C23" s="167">
        <f t="shared" si="5"/>
        <v>0</v>
      </c>
      <c r="D23" s="167">
        <f t="shared" si="5"/>
        <v>0</v>
      </c>
      <c r="E23" s="167">
        <f t="shared" si="5"/>
        <v>0</v>
      </c>
      <c r="F23" s="167">
        <f t="shared" si="5"/>
        <v>0</v>
      </c>
      <c r="G23" s="167">
        <f t="shared" si="5"/>
        <v>0</v>
      </c>
      <c r="H23" s="167">
        <f t="shared" si="5"/>
        <v>0</v>
      </c>
      <c r="I23" s="167">
        <f t="shared" si="5"/>
        <v>0</v>
      </c>
      <c r="J23" s="167">
        <f t="shared" si="5"/>
        <v>0</v>
      </c>
      <c r="K23" s="167">
        <f t="shared" si="5"/>
        <v>0</v>
      </c>
      <c r="L23" s="167">
        <f t="shared" si="5"/>
        <v>0</v>
      </c>
      <c r="M23" s="167">
        <f t="shared" si="5"/>
        <v>0</v>
      </c>
      <c r="N23" s="167">
        <f t="shared" si="5"/>
        <v>0</v>
      </c>
      <c r="O23" s="167">
        <f t="shared" si="5"/>
        <v>0</v>
      </c>
      <c r="P23" s="167">
        <f t="shared" si="5"/>
        <v>0</v>
      </c>
      <c r="Q23" s="167">
        <f t="shared" si="5"/>
        <v>0</v>
      </c>
      <c r="R23" s="167">
        <f t="shared" si="5"/>
        <v>90</v>
      </c>
      <c r="S23" s="167">
        <f t="shared" si="5"/>
        <v>90</v>
      </c>
      <c r="T23" s="167">
        <f t="shared" si="5"/>
        <v>90</v>
      </c>
      <c r="U23" s="167">
        <f t="shared" si="5"/>
        <v>90</v>
      </c>
      <c r="V23" s="167">
        <f t="shared" si="5"/>
        <v>90</v>
      </c>
      <c r="W23" s="167">
        <f t="shared" si="5"/>
        <v>90</v>
      </c>
      <c r="X23" s="167">
        <f t="shared" si="5"/>
        <v>90</v>
      </c>
      <c r="Y23" s="167">
        <f t="shared" si="5"/>
        <v>90</v>
      </c>
      <c r="Z23" s="167">
        <f t="shared" si="5"/>
        <v>90</v>
      </c>
      <c r="AA23" s="167">
        <f t="shared" si="5"/>
        <v>90</v>
      </c>
      <c r="AB23" s="167">
        <f t="shared" si="5"/>
        <v>90</v>
      </c>
      <c r="AC23" s="167">
        <f t="shared" si="5"/>
        <v>90</v>
      </c>
      <c r="AD23" s="167">
        <f t="shared" si="5"/>
        <v>90</v>
      </c>
      <c r="AE23" s="167">
        <f t="shared" si="5"/>
        <v>90</v>
      </c>
      <c r="AF23" s="167">
        <f t="shared" si="5"/>
        <v>90</v>
      </c>
      <c r="AG23" s="167">
        <f t="shared" si="5"/>
        <v>90</v>
      </c>
      <c r="AH23" s="167">
        <f t="shared" si="5"/>
        <v>90</v>
      </c>
      <c r="AI23" s="167">
        <f t="shared" si="5"/>
        <v>90</v>
      </c>
      <c r="AJ23" s="167">
        <f t="shared" si="5"/>
        <v>90</v>
      </c>
      <c r="AK23" s="167">
        <f t="shared" si="5"/>
        <v>90</v>
      </c>
      <c r="AL23" s="167">
        <f t="shared" si="5"/>
        <v>90</v>
      </c>
      <c r="AM23" s="167">
        <f t="shared" si="5"/>
        <v>90</v>
      </c>
      <c r="AN23" s="167">
        <f t="shared" si="5"/>
        <v>90</v>
      </c>
      <c r="AO23" s="167">
        <f t="shared" si="5"/>
        <v>90</v>
      </c>
      <c r="AP23" s="167">
        <f t="shared" si="5"/>
        <v>90</v>
      </c>
      <c r="AQ23" s="167">
        <f t="shared" si="5"/>
        <v>90</v>
      </c>
      <c r="AR23" s="167">
        <f t="shared" si="5"/>
        <v>90</v>
      </c>
      <c r="AS23" s="167">
        <f t="shared" si="5"/>
        <v>90</v>
      </c>
      <c r="AT23" s="167">
        <f t="shared" si="5"/>
        <v>90</v>
      </c>
      <c r="AU23" s="167">
        <f t="shared" si="5"/>
        <v>90</v>
      </c>
      <c r="AV23" s="167">
        <f t="shared" si="5"/>
        <v>90</v>
      </c>
      <c r="AW23" s="167">
        <f t="shared" si="5"/>
        <v>90</v>
      </c>
      <c r="AX23" s="167">
        <f t="shared" si="5"/>
        <v>90</v>
      </c>
      <c r="AY23" s="167">
        <f t="shared" si="5"/>
        <v>90</v>
      </c>
      <c r="AZ23" s="167">
        <f t="shared" si="5"/>
        <v>90</v>
      </c>
      <c r="BA23" s="167">
        <f t="shared" si="5"/>
        <v>90</v>
      </c>
    </row>
    <row r="24" ht="14.25" customHeight="1">
      <c r="A24" s="8" t="s">
        <v>665</v>
      </c>
      <c r="B24" s="167">
        <f t="shared" ref="B24:BA24" si="6">SUM(B20:B23)</f>
        <v>0</v>
      </c>
      <c r="C24" s="167">
        <f t="shared" si="6"/>
        <v>0</v>
      </c>
      <c r="D24" s="167">
        <f t="shared" si="6"/>
        <v>0</v>
      </c>
      <c r="E24" s="167">
        <f t="shared" si="6"/>
        <v>0</v>
      </c>
      <c r="F24" s="167">
        <f t="shared" si="6"/>
        <v>800</v>
      </c>
      <c r="G24" s="167">
        <f t="shared" si="6"/>
        <v>800</v>
      </c>
      <c r="H24" s="167">
        <f t="shared" si="6"/>
        <v>800</v>
      </c>
      <c r="I24" s="167">
        <f t="shared" si="6"/>
        <v>800</v>
      </c>
      <c r="J24" s="167">
        <f t="shared" si="6"/>
        <v>800</v>
      </c>
      <c r="K24" s="167">
        <f t="shared" si="6"/>
        <v>1200</v>
      </c>
      <c r="L24" s="167">
        <f t="shared" si="6"/>
        <v>1200</v>
      </c>
      <c r="M24" s="167">
        <f t="shared" si="6"/>
        <v>1200</v>
      </c>
      <c r="N24" s="167">
        <f t="shared" si="6"/>
        <v>1200</v>
      </c>
      <c r="O24" s="167">
        <f t="shared" si="6"/>
        <v>1600</v>
      </c>
      <c r="P24" s="167">
        <f t="shared" si="6"/>
        <v>1600</v>
      </c>
      <c r="Q24" s="167">
        <f t="shared" si="6"/>
        <v>1600</v>
      </c>
      <c r="R24" s="167">
        <f t="shared" si="6"/>
        <v>4040</v>
      </c>
      <c r="S24" s="167">
        <f t="shared" si="6"/>
        <v>4040</v>
      </c>
      <c r="T24" s="167">
        <f t="shared" si="6"/>
        <v>4040</v>
      </c>
      <c r="U24" s="167">
        <f t="shared" si="6"/>
        <v>4040</v>
      </c>
      <c r="V24" s="167">
        <f t="shared" si="6"/>
        <v>4040</v>
      </c>
      <c r="W24" s="167">
        <f t="shared" si="6"/>
        <v>4040</v>
      </c>
      <c r="X24" s="167">
        <f t="shared" si="6"/>
        <v>4040</v>
      </c>
      <c r="Y24" s="167">
        <f t="shared" si="6"/>
        <v>4040</v>
      </c>
      <c r="Z24" s="167">
        <f t="shared" si="6"/>
        <v>4040</v>
      </c>
      <c r="AA24" s="167">
        <f t="shared" si="6"/>
        <v>4040</v>
      </c>
      <c r="AB24" s="167">
        <f t="shared" si="6"/>
        <v>4040</v>
      </c>
      <c r="AC24" s="167">
        <f t="shared" si="6"/>
        <v>4040</v>
      </c>
      <c r="AD24" s="167">
        <f t="shared" si="6"/>
        <v>5040</v>
      </c>
      <c r="AE24" s="167">
        <f t="shared" si="6"/>
        <v>5040</v>
      </c>
      <c r="AF24" s="167">
        <f t="shared" si="6"/>
        <v>5040</v>
      </c>
      <c r="AG24" s="167">
        <f t="shared" si="6"/>
        <v>5040</v>
      </c>
      <c r="AH24" s="167">
        <f t="shared" si="6"/>
        <v>5040</v>
      </c>
      <c r="AI24" s="167">
        <f t="shared" si="6"/>
        <v>5040</v>
      </c>
      <c r="AJ24" s="167">
        <f t="shared" si="6"/>
        <v>5040</v>
      </c>
      <c r="AK24" s="167">
        <f t="shared" si="6"/>
        <v>5040</v>
      </c>
      <c r="AL24" s="167">
        <f t="shared" si="6"/>
        <v>5040</v>
      </c>
      <c r="AM24" s="167">
        <f t="shared" si="6"/>
        <v>5040</v>
      </c>
      <c r="AN24" s="167">
        <f t="shared" si="6"/>
        <v>5040</v>
      </c>
      <c r="AO24" s="167">
        <f t="shared" si="6"/>
        <v>5040</v>
      </c>
      <c r="AP24" s="167">
        <f t="shared" si="6"/>
        <v>5040</v>
      </c>
      <c r="AQ24" s="167">
        <f t="shared" si="6"/>
        <v>5040</v>
      </c>
      <c r="AR24" s="167">
        <f t="shared" si="6"/>
        <v>5040</v>
      </c>
      <c r="AS24" s="167">
        <f t="shared" si="6"/>
        <v>5040</v>
      </c>
      <c r="AT24" s="167">
        <f t="shared" si="6"/>
        <v>5040</v>
      </c>
      <c r="AU24" s="167">
        <f t="shared" si="6"/>
        <v>5040</v>
      </c>
      <c r="AV24" s="167">
        <f t="shared" si="6"/>
        <v>5040</v>
      </c>
      <c r="AW24" s="167">
        <f t="shared" si="6"/>
        <v>5040</v>
      </c>
      <c r="AX24" s="167">
        <f t="shared" si="6"/>
        <v>5040</v>
      </c>
      <c r="AY24" s="167">
        <f t="shared" si="6"/>
        <v>5040</v>
      </c>
      <c r="AZ24" s="167">
        <f t="shared" si="6"/>
        <v>5040</v>
      </c>
      <c r="BA24" s="167">
        <f t="shared" si="6"/>
        <v>5040</v>
      </c>
    </row>
    <row r="25" ht="14.25" customHeight="1">
      <c r="A25" s="153" t="s">
        <v>666</v>
      </c>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row>
    <row r="26" ht="14.25" customHeight="1">
      <c r="A26" s="168" t="s">
        <v>667</v>
      </c>
      <c r="B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C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D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E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F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G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H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I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J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K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L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M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N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O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P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Q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R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51000</v>
      </c>
      <c r="S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T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U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V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W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X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Y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Z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A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B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C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D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101200</v>
      </c>
      <c r="AE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F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G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H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I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J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K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L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M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N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O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P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101500</v>
      </c>
      <c r="AQ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R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S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T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U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V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W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X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Y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Z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BA26" s="167">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row>
    <row r="27" ht="14.25" customHeight="1">
      <c r="A27" s="168" t="s">
        <v>668</v>
      </c>
      <c r="B27" s="167">
        <f>IF(COLUMN()-1&lt;=4,'2_Inputs'!$B$119,IF(COLUMN()-1&lt;=16,'2_Inputs'!$B$120,IF(COLUMN()-1&lt;=28,'2_Inputs'!$B$121,IF(COLUMN()-1&lt;=40,'2_Inputs'!$B$122,'2_Inputs'!$B$123))))</f>
        <v>0</v>
      </c>
      <c r="C27" s="167">
        <f>IF(COLUMN()-1&lt;=4,'2_Inputs'!$B$119,IF(COLUMN()-1&lt;=16,'2_Inputs'!$B$120,IF(COLUMN()-1&lt;=28,'2_Inputs'!$B$121,IF(COLUMN()-1&lt;=40,'2_Inputs'!$B$122,'2_Inputs'!$B$123))))</f>
        <v>0</v>
      </c>
      <c r="D27" s="167">
        <f>IF(COLUMN()-1&lt;=4,'2_Inputs'!$B$119,IF(COLUMN()-1&lt;=16,'2_Inputs'!$B$120,IF(COLUMN()-1&lt;=28,'2_Inputs'!$B$121,IF(COLUMN()-1&lt;=40,'2_Inputs'!$B$122,'2_Inputs'!$B$123))))</f>
        <v>0</v>
      </c>
      <c r="E27" s="167">
        <f>IF(COLUMN()-1&lt;=4,'2_Inputs'!$B$119,IF(COLUMN()-1&lt;=16,'2_Inputs'!$B$120,IF(COLUMN()-1&lt;=28,'2_Inputs'!$B$121,IF(COLUMN()-1&lt;=40,'2_Inputs'!$B$122,'2_Inputs'!$B$123))))</f>
        <v>0</v>
      </c>
      <c r="F27" s="167">
        <f>IF(COLUMN()-1&lt;=4,'2_Inputs'!$B$119,IF(COLUMN()-1&lt;=16,'2_Inputs'!$B$120,IF(COLUMN()-1&lt;=28,'2_Inputs'!$B$121,IF(COLUMN()-1&lt;=40,'2_Inputs'!$B$122,'2_Inputs'!$B$123))))</f>
        <v>600</v>
      </c>
      <c r="G27" s="167">
        <f>IF(COLUMN()-1&lt;=4,'2_Inputs'!$B$119,IF(COLUMN()-1&lt;=16,'2_Inputs'!$B$120,IF(COLUMN()-1&lt;=28,'2_Inputs'!$B$121,IF(COLUMN()-1&lt;=40,'2_Inputs'!$B$122,'2_Inputs'!$B$123))))</f>
        <v>600</v>
      </c>
      <c r="H27" s="167">
        <f>IF(COLUMN()-1&lt;=4,'2_Inputs'!$B$119,IF(COLUMN()-1&lt;=16,'2_Inputs'!$B$120,IF(COLUMN()-1&lt;=28,'2_Inputs'!$B$121,IF(COLUMN()-1&lt;=40,'2_Inputs'!$B$122,'2_Inputs'!$B$123))))</f>
        <v>600</v>
      </c>
      <c r="I27" s="167">
        <f>IF(COLUMN()-1&lt;=4,'2_Inputs'!$B$119,IF(COLUMN()-1&lt;=16,'2_Inputs'!$B$120,IF(COLUMN()-1&lt;=28,'2_Inputs'!$B$121,IF(COLUMN()-1&lt;=40,'2_Inputs'!$B$122,'2_Inputs'!$B$123))))</f>
        <v>600</v>
      </c>
      <c r="J27" s="167">
        <f>IF(COLUMN()-1&lt;=4,'2_Inputs'!$B$119,IF(COLUMN()-1&lt;=16,'2_Inputs'!$B$120,IF(COLUMN()-1&lt;=28,'2_Inputs'!$B$121,IF(COLUMN()-1&lt;=40,'2_Inputs'!$B$122,'2_Inputs'!$B$123))))</f>
        <v>600</v>
      </c>
      <c r="K27" s="167">
        <f>IF(COLUMN()-1&lt;=4,'2_Inputs'!$B$119,IF(COLUMN()-1&lt;=16,'2_Inputs'!$B$120,IF(COLUMN()-1&lt;=28,'2_Inputs'!$B$121,IF(COLUMN()-1&lt;=40,'2_Inputs'!$B$122,'2_Inputs'!$B$123))))</f>
        <v>600</v>
      </c>
      <c r="L27" s="167">
        <f>IF(COLUMN()-1&lt;=4,'2_Inputs'!$B$119,IF(COLUMN()-1&lt;=16,'2_Inputs'!$B$120,IF(COLUMN()-1&lt;=28,'2_Inputs'!$B$121,IF(COLUMN()-1&lt;=40,'2_Inputs'!$B$122,'2_Inputs'!$B$123))))</f>
        <v>600</v>
      </c>
      <c r="M27" s="167">
        <f>IF(COLUMN()-1&lt;=4,'2_Inputs'!$B$119,IF(COLUMN()-1&lt;=16,'2_Inputs'!$B$120,IF(COLUMN()-1&lt;=28,'2_Inputs'!$B$121,IF(COLUMN()-1&lt;=40,'2_Inputs'!$B$122,'2_Inputs'!$B$123))))</f>
        <v>600</v>
      </c>
      <c r="N27" s="167">
        <f>IF(COLUMN()-1&lt;=4,'2_Inputs'!$B$119,IF(COLUMN()-1&lt;=16,'2_Inputs'!$B$120,IF(COLUMN()-1&lt;=28,'2_Inputs'!$B$121,IF(COLUMN()-1&lt;=40,'2_Inputs'!$B$122,'2_Inputs'!$B$123))))</f>
        <v>600</v>
      </c>
      <c r="O27" s="167">
        <f>IF(COLUMN()-1&lt;=4,'2_Inputs'!$B$119,IF(COLUMN()-1&lt;=16,'2_Inputs'!$B$120,IF(COLUMN()-1&lt;=28,'2_Inputs'!$B$121,IF(COLUMN()-1&lt;=40,'2_Inputs'!$B$122,'2_Inputs'!$B$123))))</f>
        <v>600</v>
      </c>
      <c r="P27" s="167">
        <f>IF(COLUMN()-1&lt;=4,'2_Inputs'!$B$119,IF(COLUMN()-1&lt;=16,'2_Inputs'!$B$120,IF(COLUMN()-1&lt;=28,'2_Inputs'!$B$121,IF(COLUMN()-1&lt;=40,'2_Inputs'!$B$122,'2_Inputs'!$B$123))))</f>
        <v>600</v>
      </c>
      <c r="Q27" s="167">
        <f>IF(COLUMN()-1&lt;=4,'2_Inputs'!$B$119,IF(COLUMN()-1&lt;=16,'2_Inputs'!$B$120,IF(COLUMN()-1&lt;=28,'2_Inputs'!$B$121,IF(COLUMN()-1&lt;=40,'2_Inputs'!$B$122,'2_Inputs'!$B$123))))</f>
        <v>600</v>
      </c>
      <c r="R27" s="167">
        <f>IF(COLUMN()-1&lt;=4,'2_Inputs'!$B$119,IF(COLUMN()-1&lt;=16,'2_Inputs'!$B$120,IF(COLUMN()-1&lt;=28,'2_Inputs'!$B$121,IF(COLUMN()-1&lt;=40,'2_Inputs'!$B$122,'2_Inputs'!$B$123))))</f>
        <v>800</v>
      </c>
      <c r="S27" s="167">
        <f>IF(COLUMN()-1&lt;=4,'2_Inputs'!$B$119,IF(COLUMN()-1&lt;=16,'2_Inputs'!$B$120,IF(COLUMN()-1&lt;=28,'2_Inputs'!$B$121,IF(COLUMN()-1&lt;=40,'2_Inputs'!$B$122,'2_Inputs'!$B$123))))</f>
        <v>800</v>
      </c>
      <c r="T27" s="167">
        <f>IF(COLUMN()-1&lt;=4,'2_Inputs'!$B$119,IF(COLUMN()-1&lt;=16,'2_Inputs'!$B$120,IF(COLUMN()-1&lt;=28,'2_Inputs'!$B$121,IF(COLUMN()-1&lt;=40,'2_Inputs'!$B$122,'2_Inputs'!$B$123))))</f>
        <v>800</v>
      </c>
      <c r="U27" s="167">
        <f>IF(COLUMN()-1&lt;=4,'2_Inputs'!$B$119,IF(COLUMN()-1&lt;=16,'2_Inputs'!$B$120,IF(COLUMN()-1&lt;=28,'2_Inputs'!$B$121,IF(COLUMN()-1&lt;=40,'2_Inputs'!$B$122,'2_Inputs'!$B$123))))</f>
        <v>800</v>
      </c>
      <c r="V27" s="167">
        <f>IF(COLUMN()-1&lt;=4,'2_Inputs'!$B$119,IF(COLUMN()-1&lt;=16,'2_Inputs'!$B$120,IF(COLUMN()-1&lt;=28,'2_Inputs'!$B$121,IF(COLUMN()-1&lt;=40,'2_Inputs'!$B$122,'2_Inputs'!$B$123))))</f>
        <v>800</v>
      </c>
      <c r="W27" s="167">
        <f>IF(COLUMN()-1&lt;=4,'2_Inputs'!$B$119,IF(COLUMN()-1&lt;=16,'2_Inputs'!$B$120,IF(COLUMN()-1&lt;=28,'2_Inputs'!$B$121,IF(COLUMN()-1&lt;=40,'2_Inputs'!$B$122,'2_Inputs'!$B$123))))</f>
        <v>800</v>
      </c>
      <c r="X27" s="167">
        <f>IF(COLUMN()-1&lt;=4,'2_Inputs'!$B$119,IF(COLUMN()-1&lt;=16,'2_Inputs'!$B$120,IF(COLUMN()-1&lt;=28,'2_Inputs'!$B$121,IF(COLUMN()-1&lt;=40,'2_Inputs'!$B$122,'2_Inputs'!$B$123))))</f>
        <v>800</v>
      </c>
      <c r="Y27" s="167">
        <f>IF(COLUMN()-1&lt;=4,'2_Inputs'!$B$119,IF(COLUMN()-1&lt;=16,'2_Inputs'!$B$120,IF(COLUMN()-1&lt;=28,'2_Inputs'!$B$121,IF(COLUMN()-1&lt;=40,'2_Inputs'!$B$122,'2_Inputs'!$B$123))))</f>
        <v>800</v>
      </c>
      <c r="Z27" s="167">
        <f>IF(COLUMN()-1&lt;=4,'2_Inputs'!$B$119,IF(COLUMN()-1&lt;=16,'2_Inputs'!$B$120,IF(COLUMN()-1&lt;=28,'2_Inputs'!$B$121,IF(COLUMN()-1&lt;=40,'2_Inputs'!$B$122,'2_Inputs'!$B$123))))</f>
        <v>800</v>
      </c>
      <c r="AA27" s="167">
        <f>IF(COLUMN()-1&lt;=4,'2_Inputs'!$B$119,IF(COLUMN()-1&lt;=16,'2_Inputs'!$B$120,IF(COLUMN()-1&lt;=28,'2_Inputs'!$B$121,IF(COLUMN()-1&lt;=40,'2_Inputs'!$B$122,'2_Inputs'!$B$123))))</f>
        <v>800</v>
      </c>
      <c r="AB27" s="167">
        <f>IF(COLUMN()-1&lt;=4,'2_Inputs'!$B$119,IF(COLUMN()-1&lt;=16,'2_Inputs'!$B$120,IF(COLUMN()-1&lt;=28,'2_Inputs'!$B$121,IF(COLUMN()-1&lt;=40,'2_Inputs'!$B$122,'2_Inputs'!$B$123))))</f>
        <v>800</v>
      </c>
      <c r="AC27" s="167">
        <f>IF(COLUMN()-1&lt;=4,'2_Inputs'!$B$119,IF(COLUMN()-1&lt;=16,'2_Inputs'!$B$120,IF(COLUMN()-1&lt;=28,'2_Inputs'!$B$121,IF(COLUMN()-1&lt;=40,'2_Inputs'!$B$122,'2_Inputs'!$B$123))))</f>
        <v>800</v>
      </c>
      <c r="AD27" s="167">
        <f>IF(COLUMN()-1&lt;=4,'2_Inputs'!$B$119,IF(COLUMN()-1&lt;=16,'2_Inputs'!$B$120,IF(COLUMN()-1&lt;=28,'2_Inputs'!$B$121,IF(COLUMN()-1&lt;=40,'2_Inputs'!$B$122,'2_Inputs'!$B$123))))</f>
        <v>1500</v>
      </c>
      <c r="AE27" s="167">
        <f>IF(COLUMN()-1&lt;=4,'2_Inputs'!$B$119,IF(COLUMN()-1&lt;=16,'2_Inputs'!$B$120,IF(COLUMN()-1&lt;=28,'2_Inputs'!$B$121,IF(COLUMN()-1&lt;=40,'2_Inputs'!$B$122,'2_Inputs'!$B$123))))</f>
        <v>1500</v>
      </c>
      <c r="AF27" s="167">
        <f>IF(COLUMN()-1&lt;=4,'2_Inputs'!$B$119,IF(COLUMN()-1&lt;=16,'2_Inputs'!$B$120,IF(COLUMN()-1&lt;=28,'2_Inputs'!$B$121,IF(COLUMN()-1&lt;=40,'2_Inputs'!$B$122,'2_Inputs'!$B$123))))</f>
        <v>1500</v>
      </c>
      <c r="AG27" s="167">
        <f>IF(COLUMN()-1&lt;=4,'2_Inputs'!$B$119,IF(COLUMN()-1&lt;=16,'2_Inputs'!$B$120,IF(COLUMN()-1&lt;=28,'2_Inputs'!$B$121,IF(COLUMN()-1&lt;=40,'2_Inputs'!$B$122,'2_Inputs'!$B$123))))</f>
        <v>1500</v>
      </c>
      <c r="AH27" s="167">
        <f>IF(COLUMN()-1&lt;=4,'2_Inputs'!$B$119,IF(COLUMN()-1&lt;=16,'2_Inputs'!$B$120,IF(COLUMN()-1&lt;=28,'2_Inputs'!$B$121,IF(COLUMN()-1&lt;=40,'2_Inputs'!$B$122,'2_Inputs'!$B$123))))</f>
        <v>1500</v>
      </c>
      <c r="AI27" s="167">
        <f>IF(COLUMN()-1&lt;=4,'2_Inputs'!$B$119,IF(COLUMN()-1&lt;=16,'2_Inputs'!$B$120,IF(COLUMN()-1&lt;=28,'2_Inputs'!$B$121,IF(COLUMN()-1&lt;=40,'2_Inputs'!$B$122,'2_Inputs'!$B$123))))</f>
        <v>1500</v>
      </c>
      <c r="AJ27" s="167">
        <f>IF(COLUMN()-1&lt;=4,'2_Inputs'!$B$119,IF(COLUMN()-1&lt;=16,'2_Inputs'!$B$120,IF(COLUMN()-1&lt;=28,'2_Inputs'!$B$121,IF(COLUMN()-1&lt;=40,'2_Inputs'!$B$122,'2_Inputs'!$B$123))))</f>
        <v>1500</v>
      </c>
      <c r="AK27" s="167">
        <f>IF(COLUMN()-1&lt;=4,'2_Inputs'!$B$119,IF(COLUMN()-1&lt;=16,'2_Inputs'!$B$120,IF(COLUMN()-1&lt;=28,'2_Inputs'!$B$121,IF(COLUMN()-1&lt;=40,'2_Inputs'!$B$122,'2_Inputs'!$B$123))))</f>
        <v>1500</v>
      </c>
      <c r="AL27" s="167">
        <f>IF(COLUMN()-1&lt;=4,'2_Inputs'!$B$119,IF(COLUMN()-1&lt;=16,'2_Inputs'!$B$120,IF(COLUMN()-1&lt;=28,'2_Inputs'!$B$121,IF(COLUMN()-1&lt;=40,'2_Inputs'!$B$122,'2_Inputs'!$B$123))))</f>
        <v>1500</v>
      </c>
      <c r="AM27" s="167">
        <f>IF(COLUMN()-1&lt;=4,'2_Inputs'!$B$119,IF(COLUMN()-1&lt;=16,'2_Inputs'!$B$120,IF(COLUMN()-1&lt;=28,'2_Inputs'!$B$121,IF(COLUMN()-1&lt;=40,'2_Inputs'!$B$122,'2_Inputs'!$B$123))))</f>
        <v>1500</v>
      </c>
      <c r="AN27" s="167">
        <f>IF(COLUMN()-1&lt;=4,'2_Inputs'!$B$119,IF(COLUMN()-1&lt;=16,'2_Inputs'!$B$120,IF(COLUMN()-1&lt;=28,'2_Inputs'!$B$121,IF(COLUMN()-1&lt;=40,'2_Inputs'!$B$122,'2_Inputs'!$B$123))))</f>
        <v>1500</v>
      </c>
      <c r="AO27" s="167">
        <f>IF(COLUMN()-1&lt;=4,'2_Inputs'!$B$119,IF(COLUMN()-1&lt;=16,'2_Inputs'!$B$120,IF(COLUMN()-1&lt;=28,'2_Inputs'!$B$121,IF(COLUMN()-1&lt;=40,'2_Inputs'!$B$122,'2_Inputs'!$B$123))))</f>
        <v>1500</v>
      </c>
      <c r="AP27" s="167">
        <f>IF(COLUMN()-1&lt;=4,'2_Inputs'!$B$119,IF(COLUMN()-1&lt;=16,'2_Inputs'!$B$120,IF(COLUMN()-1&lt;=28,'2_Inputs'!$B$121,IF(COLUMN()-1&lt;=40,'2_Inputs'!$B$122,'2_Inputs'!$B$123))))</f>
        <v>1500</v>
      </c>
      <c r="AQ27" s="167">
        <f>IF(COLUMN()-1&lt;=4,'2_Inputs'!$B$119,IF(COLUMN()-1&lt;=16,'2_Inputs'!$B$120,IF(COLUMN()-1&lt;=28,'2_Inputs'!$B$121,IF(COLUMN()-1&lt;=40,'2_Inputs'!$B$122,'2_Inputs'!$B$123))))</f>
        <v>1500</v>
      </c>
      <c r="AR27" s="167">
        <f>IF(COLUMN()-1&lt;=4,'2_Inputs'!$B$119,IF(COLUMN()-1&lt;=16,'2_Inputs'!$B$120,IF(COLUMN()-1&lt;=28,'2_Inputs'!$B$121,IF(COLUMN()-1&lt;=40,'2_Inputs'!$B$122,'2_Inputs'!$B$123))))</f>
        <v>1500</v>
      </c>
      <c r="AS27" s="167">
        <f>IF(COLUMN()-1&lt;=4,'2_Inputs'!$B$119,IF(COLUMN()-1&lt;=16,'2_Inputs'!$B$120,IF(COLUMN()-1&lt;=28,'2_Inputs'!$B$121,IF(COLUMN()-1&lt;=40,'2_Inputs'!$B$122,'2_Inputs'!$B$123))))</f>
        <v>1500</v>
      </c>
      <c r="AT27" s="167">
        <f>IF(COLUMN()-1&lt;=4,'2_Inputs'!$B$119,IF(COLUMN()-1&lt;=16,'2_Inputs'!$B$120,IF(COLUMN()-1&lt;=28,'2_Inputs'!$B$121,IF(COLUMN()-1&lt;=40,'2_Inputs'!$B$122,'2_Inputs'!$B$123))))</f>
        <v>1500</v>
      </c>
      <c r="AU27" s="167">
        <f>IF(COLUMN()-1&lt;=4,'2_Inputs'!$B$119,IF(COLUMN()-1&lt;=16,'2_Inputs'!$B$120,IF(COLUMN()-1&lt;=28,'2_Inputs'!$B$121,IF(COLUMN()-1&lt;=40,'2_Inputs'!$B$122,'2_Inputs'!$B$123))))</f>
        <v>1500</v>
      </c>
      <c r="AV27" s="167">
        <f>IF(COLUMN()-1&lt;=4,'2_Inputs'!$B$119,IF(COLUMN()-1&lt;=16,'2_Inputs'!$B$120,IF(COLUMN()-1&lt;=28,'2_Inputs'!$B$121,IF(COLUMN()-1&lt;=40,'2_Inputs'!$B$122,'2_Inputs'!$B$123))))</f>
        <v>1500</v>
      </c>
      <c r="AW27" s="167">
        <f>IF(COLUMN()-1&lt;=4,'2_Inputs'!$B$119,IF(COLUMN()-1&lt;=16,'2_Inputs'!$B$120,IF(COLUMN()-1&lt;=28,'2_Inputs'!$B$121,IF(COLUMN()-1&lt;=40,'2_Inputs'!$B$122,'2_Inputs'!$B$123))))</f>
        <v>1500</v>
      </c>
      <c r="AX27" s="167">
        <f>IF(COLUMN()-1&lt;=4,'2_Inputs'!$B$119,IF(COLUMN()-1&lt;=16,'2_Inputs'!$B$120,IF(COLUMN()-1&lt;=28,'2_Inputs'!$B$121,IF(COLUMN()-1&lt;=40,'2_Inputs'!$B$122,'2_Inputs'!$B$123))))</f>
        <v>1500</v>
      </c>
      <c r="AY27" s="167">
        <f>IF(COLUMN()-1&lt;=4,'2_Inputs'!$B$119,IF(COLUMN()-1&lt;=16,'2_Inputs'!$B$120,IF(COLUMN()-1&lt;=28,'2_Inputs'!$B$121,IF(COLUMN()-1&lt;=40,'2_Inputs'!$B$122,'2_Inputs'!$B$123))))</f>
        <v>1500</v>
      </c>
      <c r="AZ27" s="167">
        <f>IF(COLUMN()-1&lt;=4,'2_Inputs'!$B$119,IF(COLUMN()-1&lt;=16,'2_Inputs'!$B$120,IF(COLUMN()-1&lt;=28,'2_Inputs'!$B$121,IF(COLUMN()-1&lt;=40,'2_Inputs'!$B$122,'2_Inputs'!$B$123))))</f>
        <v>1500</v>
      </c>
      <c r="BA27" s="167">
        <f>IF(COLUMN()-1&lt;=4,'2_Inputs'!$B$119,IF(COLUMN()-1&lt;=16,'2_Inputs'!$B$120,IF(COLUMN()-1&lt;=28,'2_Inputs'!$B$121,IF(COLUMN()-1&lt;=40,'2_Inputs'!$B$122,'2_Inputs'!$B$123))))</f>
        <v>1500</v>
      </c>
    </row>
    <row r="28" ht="14.25" customHeight="1">
      <c r="A28" s="168" t="s">
        <v>669</v>
      </c>
      <c r="B28" s="167">
        <f>IF(COLUMN()-1&lt;=4,'2_Inputs'!$B$126,IF(COLUMN()-1&lt;=16,'2_Inputs'!$B$127,IF(COLUMN()-1&lt;=28,'2_Inputs'!$B$128,IF(COLUMN()-1&lt;=40,'2_Inputs'!$B$129,'2_Inputs'!$B$130))))</f>
        <v>0</v>
      </c>
      <c r="C28" s="167">
        <f>IF(COLUMN()-1&lt;=4,'2_Inputs'!$B$126,IF(COLUMN()-1&lt;=16,'2_Inputs'!$B$127,IF(COLUMN()-1&lt;=28,'2_Inputs'!$B$128,IF(COLUMN()-1&lt;=40,'2_Inputs'!$B$129,'2_Inputs'!$B$130))))</f>
        <v>0</v>
      </c>
      <c r="D28" s="167">
        <f>IF(COLUMN()-1&lt;=4,'2_Inputs'!$B$126,IF(COLUMN()-1&lt;=16,'2_Inputs'!$B$127,IF(COLUMN()-1&lt;=28,'2_Inputs'!$B$128,IF(COLUMN()-1&lt;=40,'2_Inputs'!$B$129,'2_Inputs'!$B$130))))</f>
        <v>0</v>
      </c>
      <c r="E28" s="167">
        <f>IF(COLUMN()-1&lt;=4,'2_Inputs'!$B$126,IF(COLUMN()-1&lt;=16,'2_Inputs'!$B$127,IF(COLUMN()-1&lt;=28,'2_Inputs'!$B$128,IF(COLUMN()-1&lt;=40,'2_Inputs'!$B$129,'2_Inputs'!$B$130))))</f>
        <v>0</v>
      </c>
      <c r="F28" s="167">
        <f>IF(COLUMN()-1&lt;=4,'2_Inputs'!$B$126,IF(COLUMN()-1&lt;=16,'2_Inputs'!$B$127,IF(COLUMN()-1&lt;=28,'2_Inputs'!$B$128,IF(COLUMN()-1&lt;=40,'2_Inputs'!$B$129,'2_Inputs'!$B$130))))</f>
        <v>0</v>
      </c>
      <c r="G28" s="167">
        <f>IF(COLUMN()-1&lt;=4,'2_Inputs'!$B$126,IF(COLUMN()-1&lt;=16,'2_Inputs'!$B$127,IF(COLUMN()-1&lt;=28,'2_Inputs'!$B$128,IF(COLUMN()-1&lt;=40,'2_Inputs'!$B$129,'2_Inputs'!$B$130))))</f>
        <v>0</v>
      </c>
      <c r="H28" s="167">
        <f>IF(COLUMN()-1&lt;=4,'2_Inputs'!$B$126,IF(COLUMN()-1&lt;=16,'2_Inputs'!$B$127,IF(COLUMN()-1&lt;=28,'2_Inputs'!$B$128,IF(COLUMN()-1&lt;=40,'2_Inputs'!$B$129,'2_Inputs'!$B$130))))</f>
        <v>0</v>
      </c>
      <c r="I28" s="167">
        <f>IF(COLUMN()-1&lt;=4,'2_Inputs'!$B$126,IF(COLUMN()-1&lt;=16,'2_Inputs'!$B$127,IF(COLUMN()-1&lt;=28,'2_Inputs'!$B$128,IF(COLUMN()-1&lt;=40,'2_Inputs'!$B$129,'2_Inputs'!$B$130))))</f>
        <v>0</v>
      </c>
      <c r="J28" s="167">
        <f>IF(COLUMN()-1&lt;=4,'2_Inputs'!$B$126,IF(COLUMN()-1&lt;=16,'2_Inputs'!$B$127,IF(COLUMN()-1&lt;=28,'2_Inputs'!$B$128,IF(COLUMN()-1&lt;=40,'2_Inputs'!$B$129,'2_Inputs'!$B$130))))</f>
        <v>0</v>
      </c>
      <c r="K28" s="167">
        <f>IF(COLUMN()-1&lt;=4,'2_Inputs'!$B$126,IF(COLUMN()-1&lt;=16,'2_Inputs'!$B$127,IF(COLUMN()-1&lt;=28,'2_Inputs'!$B$128,IF(COLUMN()-1&lt;=40,'2_Inputs'!$B$129,'2_Inputs'!$B$130))))</f>
        <v>0</v>
      </c>
      <c r="L28" s="167">
        <f>IF(COLUMN()-1&lt;=4,'2_Inputs'!$B$126,IF(COLUMN()-1&lt;=16,'2_Inputs'!$B$127,IF(COLUMN()-1&lt;=28,'2_Inputs'!$B$128,IF(COLUMN()-1&lt;=40,'2_Inputs'!$B$129,'2_Inputs'!$B$130))))</f>
        <v>0</v>
      </c>
      <c r="M28" s="167">
        <f>IF(COLUMN()-1&lt;=4,'2_Inputs'!$B$126,IF(COLUMN()-1&lt;=16,'2_Inputs'!$B$127,IF(COLUMN()-1&lt;=28,'2_Inputs'!$B$128,IF(COLUMN()-1&lt;=40,'2_Inputs'!$B$129,'2_Inputs'!$B$130))))</f>
        <v>0</v>
      </c>
      <c r="N28" s="167">
        <f>IF(COLUMN()-1&lt;=4,'2_Inputs'!$B$126,IF(COLUMN()-1&lt;=16,'2_Inputs'!$B$127,IF(COLUMN()-1&lt;=28,'2_Inputs'!$B$128,IF(COLUMN()-1&lt;=40,'2_Inputs'!$B$129,'2_Inputs'!$B$130))))</f>
        <v>0</v>
      </c>
      <c r="O28" s="167">
        <f>IF(COLUMN()-1&lt;=4,'2_Inputs'!$B$126,IF(COLUMN()-1&lt;=16,'2_Inputs'!$B$127,IF(COLUMN()-1&lt;=28,'2_Inputs'!$B$128,IF(COLUMN()-1&lt;=40,'2_Inputs'!$B$129,'2_Inputs'!$B$130))))</f>
        <v>0</v>
      </c>
      <c r="P28" s="167">
        <f>IF(COLUMN()-1&lt;=4,'2_Inputs'!$B$126,IF(COLUMN()-1&lt;=16,'2_Inputs'!$B$127,IF(COLUMN()-1&lt;=28,'2_Inputs'!$B$128,IF(COLUMN()-1&lt;=40,'2_Inputs'!$B$129,'2_Inputs'!$B$130))))</f>
        <v>0</v>
      </c>
      <c r="Q28" s="167">
        <f>IF(COLUMN()-1&lt;=4,'2_Inputs'!$B$126,IF(COLUMN()-1&lt;=16,'2_Inputs'!$B$127,IF(COLUMN()-1&lt;=28,'2_Inputs'!$B$128,IF(COLUMN()-1&lt;=40,'2_Inputs'!$B$129,'2_Inputs'!$B$130))))</f>
        <v>0</v>
      </c>
      <c r="R28" s="167">
        <f>IF(COLUMN()-1&lt;=4,'2_Inputs'!$B$126,IF(COLUMN()-1&lt;=16,'2_Inputs'!$B$127,IF(COLUMN()-1&lt;=28,'2_Inputs'!$B$128,IF(COLUMN()-1&lt;=40,'2_Inputs'!$B$129,'2_Inputs'!$B$130))))</f>
        <v>400</v>
      </c>
      <c r="S28" s="167">
        <f>IF(COLUMN()-1&lt;=4,'2_Inputs'!$B$126,IF(COLUMN()-1&lt;=16,'2_Inputs'!$B$127,IF(COLUMN()-1&lt;=28,'2_Inputs'!$B$128,IF(COLUMN()-1&lt;=40,'2_Inputs'!$B$129,'2_Inputs'!$B$130))))</f>
        <v>400</v>
      </c>
      <c r="T28" s="167">
        <f>IF(COLUMN()-1&lt;=4,'2_Inputs'!$B$126,IF(COLUMN()-1&lt;=16,'2_Inputs'!$B$127,IF(COLUMN()-1&lt;=28,'2_Inputs'!$B$128,IF(COLUMN()-1&lt;=40,'2_Inputs'!$B$129,'2_Inputs'!$B$130))))</f>
        <v>400</v>
      </c>
      <c r="U28" s="167">
        <f>IF(COLUMN()-1&lt;=4,'2_Inputs'!$B$126,IF(COLUMN()-1&lt;=16,'2_Inputs'!$B$127,IF(COLUMN()-1&lt;=28,'2_Inputs'!$B$128,IF(COLUMN()-1&lt;=40,'2_Inputs'!$B$129,'2_Inputs'!$B$130))))</f>
        <v>400</v>
      </c>
      <c r="V28" s="167">
        <f>IF(COLUMN()-1&lt;=4,'2_Inputs'!$B$126,IF(COLUMN()-1&lt;=16,'2_Inputs'!$B$127,IF(COLUMN()-1&lt;=28,'2_Inputs'!$B$128,IF(COLUMN()-1&lt;=40,'2_Inputs'!$B$129,'2_Inputs'!$B$130))))</f>
        <v>400</v>
      </c>
      <c r="W28" s="167">
        <f>IF(COLUMN()-1&lt;=4,'2_Inputs'!$B$126,IF(COLUMN()-1&lt;=16,'2_Inputs'!$B$127,IF(COLUMN()-1&lt;=28,'2_Inputs'!$B$128,IF(COLUMN()-1&lt;=40,'2_Inputs'!$B$129,'2_Inputs'!$B$130))))</f>
        <v>400</v>
      </c>
      <c r="X28" s="167">
        <f>IF(COLUMN()-1&lt;=4,'2_Inputs'!$B$126,IF(COLUMN()-1&lt;=16,'2_Inputs'!$B$127,IF(COLUMN()-1&lt;=28,'2_Inputs'!$B$128,IF(COLUMN()-1&lt;=40,'2_Inputs'!$B$129,'2_Inputs'!$B$130))))</f>
        <v>400</v>
      </c>
      <c r="Y28" s="167">
        <f>IF(COLUMN()-1&lt;=4,'2_Inputs'!$B$126,IF(COLUMN()-1&lt;=16,'2_Inputs'!$B$127,IF(COLUMN()-1&lt;=28,'2_Inputs'!$B$128,IF(COLUMN()-1&lt;=40,'2_Inputs'!$B$129,'2_Inputs'!$B$130))))</f>
        <v>400</v>
      </c>
      <c r="Z28" s="167">
        <f>IF(COLUMN()-1&lt;=4,'2_Inputs'!$B$126,IF(COLUMN()-1&lt;=16,'2_Inputs'!$B$127,IF(COLUMN()-1&lt;=28,'2_Inputs'!$B$128,IF(COLUMN()-1&lt;=40,'2_Inputs'!$B$129,'2_Inputs'!$B$130))))</f>
        <v>400</v>
      </c>
      <c r="AA28" s="167">
        <f>IF(COLUMN()-1&lt;=4,'2_Inputs'!$B$126,IF(COLUMN()-1&lt;=16,'2_Inputs'!$B$127,IF(COLUMN()-1&lt;=28,'2_Inputs'!$B$128,IF(COLUMN()-1&lt;=40,'2_Inputs'!$B$129,'2_Inputs'!$B$130))))</f>
        <v>400</v>
      </c>
      <c r="AB28" s="167">
        <f>IF(COLUMN()-1&lt;=4,'2_Inputs'!$B$126,IF(COLUMN()-1&lt;=16,'2_Inputs'!$B$127,IF(COLUMN()-1&lt;=28,'2_Inputs'!$B$128,IF(COLUMN()-1&lt;=40,'2_Inputs'!$B$129,'2_Inputs'!$B$130))))</f>
        <v>400</v>
      </c>
      <c r="AC28" s="167">
        <f>IF(COLUMN()-1&lt;=4,'2_Inputs'!$B$126,IF(COLUMN()-1&lt;=16,'2_Inputs'!$B$127,IF(COLUMN()-1&lt;=28,'2_Inputs'!$B$128,IF(COLUMN()-1&lt;=40,'2_Inputs'!$B$129,'2_Inputs'!$B$130))))</f>
        <v>400</v>
      </c>
      <c r="AD28" s="167">
        <f>IF(COLUMN()-1&lt;=4,'2_Inputs'!$B$126,IF(COLUMN()-1&lt;=16,'2_Inputs'!$B$127,IF(COLUMN()-1&lt;=28,'2_Inputs'!$B$128,IF(COLUMN()-1&lt;=40,'2_Inputs'!$B$129,'2_Inputs'!$B$130))))</f>
        <v>1800</v>
      </c>
      <c r="AE28" s="167">
        <f>IF(COLUMN()-1&lt;=4,'2_Inputs'!$B$126,IF(COLUMN()-1&lt;=16,'2_Inputs'!$B$127,IF(COLUMN()-1&lt;=28,'2_Inputs'!$B$128,IF(COLUMN()-1&lt;=40,'2_Inputs'!$B$129,'2_Inputs'!$B$130))))</f>
        <v>1800</v>
      </c>
      <c r="AF28" s="167">
        <f>IF(COLUMN()-1&lt;=4,'2_Inputs'!$B$126,IF(COLUMN()-1&lt;=16,'2_Inputs'!$B$127,IF(COLUMN()-1&lt;=28,'2_Inputs'!$B$128,IF(COLUMN()-1&lt;=40,'2_Inputs'!$B$129,'2_Inputs'!$B$130))))</f>
        <v>1800</v>
      </c>
      <c r="AG28" s="167">
        <f>IF(COLUMN()-1&lt;=4,'2_Inputs'!$B$126,IF(COLUMN()-1&lt;=16,'2_Inputs'!$B$127,IF(COLUMN()-1&lt;=28,'2_Inputs'!$B$128,IF(COLUMN()-1&lt;=40,'2_Inputs'!$B$129,'2_Inputs'!$B$130))))</f>
        <v>1800</v>
      </c>
      <c r="AH28" s="167">
        <f>IF(COLUMN()-1&lt;=4,'2_Inputs'!$B$126,IF(COLUMN()-1&lt;=16,'2_Inputs'!$B$127,IF(COLUMN()-1&lt;=28,'2_Inputs'!$B$128,IF(COLUMN()-1&lt;=40,'2_Inputs'!$B$129,'2_Inputs'!$B$130))))</f>
        <v>1800</v>
      </c>
      <c r="AI28" s="167">
        <f>IF(COLUMN()-1&lt;=4,'2_Inputs'!$B$126,IF(COLUMN()-1&lt;=16,'2_Inputs'!$B$127,IF(COLUMN()-1&lt;=28,'2_Inputs'!$B$128,IF(COLUMN()-1&lt;=40,'2_Inputs'!$B$129,'2_Inputs'!$B$130))))</f>
        <v>1800</v>
      </c>
      <c r="AJ28" s="167">
        <f>IF(COLUMN()-1&lt;=4,'2_Inputs'!$B$126,IF(COLUMN()-1&lt;=16,'2_Inputs'!$B$127,IF(COLUMN()-1&lt;=28,'2_Inputs'!$B$128,IF(COLUMN()-1&lt;=40,'2_Inputs'!$B$129,'2_Inputs'!$B$130))))</f>
        <v>1800</v>
      </c>
      <c r="AK28" s="167">
        <f>IF(COLUMN()-1&lt;=4,'2_Inputs'!$B$126,IF(COLUMN()-1&lt;=16,'2_Inputs'!$B$127,IF(COLUMN()-1&lt;=28,'2_Inputs'!$B$128,IF(COLUMN()-1&lt;=40,'2_Inputs'!$B$129,'2_Inputs'!$B$130))))</f>
        <v>1800</v>
      </c>
      <c r="AL28" s="167">
        <f>IF(COLUMN()-1&lt;=4,'2_Inputs'!$B$126,IF(COLUMN()-1&lt;=16,'2_Inputs'!$B$127,IF(COLUMN()-1&lt;=28,'2_Inputs'!$B$128,IF(COLUMN()-1&lt;=40,'2_Inputs'!$B$129,'2_Inputs'!$B$130))))</f>
        <v>1800</v>
      </c>
      <c r="AM28" s="167">
        <f>IF(COLUMN()-1&lt;=4,'2_Inputs'!$B$126,IF(COLUMN()-1&lt;=16,'2_Inputs'!$B$127,IF(COLUMN()-1&lt;=28,'2_Inputs'!$B$128,IF(COLUMN()-1&lt;=40,'2_Inputs'!$B$129,'2_Inputs'!$B$130))))</f>
        <v>1800</v>
      </c>
      <c r="AN28" s="167">
        <f>IF(COLUMN()-1&lt;=4,'2_Inputs'!$B$126,IF(COLUMN()-1&lt;=16,'2_Inputs'!$B$127,IF(COLUMN()-1&lt;=28,'2_Inputs'!$B$128,IF(COLUMN()-1&lt;=40,'2_Inputs'!$B$129,'2_Inputs'!$B$130))))</f>
        <v>1800</v>
      </c>
      <c r="AO28" s="167">
        <f>IF(COLUMN()-1&lt;=4,'2_Inputs'!$B$126,IF(COLUMN()-1&lt;=16,'2_Inputs'!$B$127,IF(COLUMN()-1&lt;=28,'2_Inputs'!$B$128,IF(COLUMN()-1&lt;=40,'2_Inputs'!$B$129,'2_Inputs'!$B$130))))</f>
        <v>1800</v>
      </c>
      <c r="AP28" s="167">
        <f>IF(COLUMN()-1&lt;=4,'2_Inputs'!$B$126,IF(COLUMN()-1&lt;=16,'2_Inputs'!$B$127,IF(COLUMN()-1&lt;=28,'2_Inputs'!$B$128,IF(COLUMN()-1&lt;=40,'2_Inputs'!$B$129,'2_Inputs'!$B$130))))</f>
        <v>2000</v>
      </c>
      <c r="AQ28" s="167">
        <f>IF(COLUMN()-1&lt;=4,'2_Inputs'!$B$126,IF(COLUMN()-1&lt;=16,'2_Inputs'!$B$127,IF(COLUMN()-1&lt;=28,'2_Inputs'!$B$128,IF(COLUMN()-1&lt;=40,'2_Inputs'!$B$129,'2_Inputs'!$B$130))))</f>
        <v>2000</v>
      </c>
      <c r="AR28" s="167">
        <f>IF(COLUMN()-1&lt;=4,'2_Inputs'!$B$126,IF(COLUMN()-1&lt;=16,'2_Inputs'!$B$127,IF(COLUMN()-1&lt;=28,'2_Inputs'!$B$128,IF(COLUMN()-1&lt;=40,'2_Inputs'!$B$129,'2_Inputs'!$B$130))))</f>
        <v>2000</v>
      </c>
      <c r="AS28" s="167">
        <f>IF(COLUMN()-1&lt;=4,'2_Inputs'!$B$126,IF(COLUMN()-1&lt;=16,'2_Inputs'!$B$127,IF(COLUMN()-1&lt;=28,'2_Inputs'!$B$128,IF(COLUMN()-1&lt;=40,'2_Inputs'!$B$129,'2_Inputs'!$B$130))))</f>
        <v>2000</v>
      </c>
      <c r="AT28" s="167">
        <f>IF(COLUMN()-1&lt;=4,'2_Inputs'!$B$126,IF(COLUMN()-1&lt;=16,'2_Inputs'!$B$127,IF(COLUMN()-1&lt;=28,'2_Inputs'!$B$128,IF(COLUMN()-1&lt;=40,'2_Inputs'!$B$129,'2_Inputs'!$B$130))))</f>
        <v>2000</v>
      </c>
      <c r="AU28" s="167">
        <f>IF(COLUMN()-1&lt;=4,'2_Inputs'!$B$126,IF(COLUMN()-1&lt;=16,'2_Inputs'!$B$127,IF(COLUMN()-1&lt;=28,'2_Inputs'!$B$128,IF(COLUMN()-1&lt;=40,'2_Inputs'!$B$129,'2_Inputs'!$B$130))))</f>
        <v>2000</v>
      </c>
      <c r="AV28" s="167">
        <f>IF(COLUMN()-1&lt;=4,'2_Inputs'!$B$126,IF(COLUMN()-1&lt;=16,'2_Inputs'!$B$127,IF(COLUMN()-1&lt;=28,'2_Inputs'!$B$128,IF(COLUMN()-1&lt;=40,'2_Inputs'!$B$129,'2_Inputs'!$B$130))))</f>
        <v>2000</v>
      </c>
      <c r="AW28" s="167">
        <f>IF(COLUMN()-1&lt;=4,'2_Inputs'!$B$126,IF(COLUMN()-1&lt;=16,'2_Inputs'!$B$127,IF(COLUMN()-1&lt;=28,'2_Inputs'!$B$128,IF(COLUMN()-1&lt;=40,'2_Inputs'!$B$129,'2_Inputs'!$B$130))))</f>
        <v>2000</v>
      </c>
      <c r="AX28" s="167">
        <f>IF(COLUMN()-1&lt;=4,'2_Inputs'!$B$126,IF(COLUMN()-1&lt;=16,'2_Inputs'!$B$127,IF(COLUMN()-1&lt;=28,'2_Inputs'!$B$128,IF(COLUMN()-1&lt;=40,'2_Inputs'!$B$129,'2_Inputs'!$B$130))))</f>
        <v>2000</v>
      </c>
      <c r="AY28" s="167">
        <f>IF(COLUMN()-1&lt;=4,'2_Inputs'!$B$126,IF(COLUMN()-1&lt;=16,'2_Inputs'!$B$127,IF(COLUMN()-1&lt;=28,'2_Inputs'!$B$128,IF(COLUMN()-1&lt;=40,'2_Inputs'!$B$129,'2_Inputs'!$B$130))))</f>
        <v>2000</v>
      </c>
      <c r="AZ28" s="167">
        <f>IF(COLUMN()-1&lt;=4,'2_Inputs'!$B$126,IF(COLUMN()-1&lt;=16,'2_Inputs'!$B$127,IF(COLUMN()-1&lt;=28,'2_Inputs'!$B$128,IF(COLUMN()-1&lt;=40,'2_Inputs'!$B$129,'2_Inputs'!$B$130))))</f>
        <v>2000</v>
      </c>
      <c r="BA28" s="167">
        <f>IF(COLUMN()-1&lt;=4,'2_Inputs'!$B$126,IF(COLUMN()-1&lt;=16,'2_Inputs'!$B$127,IF(COLUMN()-1&lt;=28,'2_Inputs'!$B$128,IF(COLUMN()-1&lt;=40,'2_Inputs'!$B$129,'2_Inputs'!$B$130))))</f>
        <v>2000</v>
      </c>
    </row>
    <row r="29" ht="14.25" customHeight="1">
      <c r="A29" s="168" t="s">
        <v>670</v>
      </c>
      <c r="B29" s="167">
        <f>IF(COLUMN()-1&lt;=4,'2_Inputs'!$B$133,IF(COLUMN()-1&lt;=16,'2_Inputs'!$B$134,IF(COLUMN()-1&lt;=28,'2_Inputs'!$B$135,IF(COLUMN()-1&lt;=40,'2_Inputs'!$B$136,'2_Inputs'!$B$137))))</f>
        <v>0</v>
      </c>
      <c r="C29" s="167">
        <f>IF(COLUMN()-1&lt;=4,'2_Inputs'!$B$133,IF(COLUMN()-1&lt;=16,'2_Inputs'!$B$134,IF(COLUMN()-1&lt;=28,'2_Inputs'!$B$135,IF(COLUMN()-1&lt;=40,'2_Inputs'!$B$136,'2_Inputs'!$B$137))))</f>
        <v>0</v>
      </c>
      <c r="D29" s="167">
        <f>IF(COLUMN()-1&lt;=4,'2_Inputs'!$B$133,IF(COLUMN()-1&lt;=16,'2_Inputs'!$B$134,IF(COLUMN()-1&lt;=28,'2_Inputs'!$B$135,IF(COLUMN()-1&lt;=40,'2_Inputs'!$B$136,'2_Inputs'!$B$137))))</f>
        <v>0</v>
      </c>
      <c r="E29" s="167">
        <f>IF(COLUMN()-1&lt;=4,'2_Inputs'!$B$133,IF(COLUMN()-1&lt;=16,'2_Inputs'!$B$134,IF(COLUMN()-1&lt;=28,'2_Inputs'!$B$135,IF(COLUMN()-1&lt;=40,'2_Inputs'!$B$136,'2_Inputs'!$B$137))))</f>
        <v>0</v>
      </c>
      <c r="F29" s="167">
        <f>IF(COLUMN()-1&lt;=4,'2_Inputs'!$B$133,IF(COLUMN()-1&lt;=16,'2_Inputs'!$B$134,IF(COLUMN()-1&lt;=28,'2_Inputs'!$B$135,IF(COLUMN()-1&lt;=40,'2_Inputs'!$B$136,'2_Inputs'!$B$137))))</f>
        <v>0</v>
      </c>
      <c r="G29" s="167">
        <f>IF(COLUMN()-1&lt;=4,'2_Inputs'!$B$133,IF(COLUMN()-1&lt;=16,'2_Inputs'!$B$134,IF(COLUMN()-1&lt;=28,'2_Inputs'!$B$135,IF(COLUMN()-1&lt;=40,'2_Inputs'!$B$136,'2_Inputs'!$B$137))))</f>
        <v>0</v>
      </c>
      <c r="H29" s="167">
        <f>IF(COLUMN()-1&lt;=4,'2_Inputs'!$B$133,IF(COLUMN()-1&lt;=16,'2_Inputs'!$B$134,IF(COLUMN()-1&lt;=28,'2_Inputs'!$B$135,IF(COLUMN()-1&lt;=40,'2_Inputs'!$B$136,'2_Inputs'!$B$137))))</f>
        <v>0</v>
      </c>
      <c r="I29" s="167">
        <f>IF(COLUMN()-1&lt;=4,'2_Inputs'!$B$133,IF(COLUMN()-1&lt;=16,'2_Inputs'!$B$134,IF(COLUMN()-1&lt;=28,'2_Inputs'!$B$135,IF(COLUMN()-1&lt;=40,'2_Inputs'!$B$136,'2_Inputs'!$B$137))))</f>
        <v>0</v>
      </c>
      <c r="J29" s="167">
        <f>IF(COLUMN()-1&lt;=4,'2_Inputs'!$B$133,IF(COLUMN()-1&lt;=16,'2_Inputs'!$B$134,IF(COLUMN()-1&lt;=28,'2_Inputs'!$B$135,IF(COLUMN()-1&lt;=40,'2_Inputs'!$B$136,'2_Inputs'!$B$137))))</f>
        <v>0</v>
      </c>
      <c r="K29" s="167">
        <f>IF(COLUMN()-1&lt;=4,'2_Inputs'!$B$133,IF(COLUMN()-1&lt;=16,'2_Inputs'!$B$134,IF(COLUMN()-1&lt;=28,'2_Inputs'!$B$135,IF(COLUMN()-1&lt;=40,'2_Inputs'!$B$136,'2_Inputs'!$B$137))))</f>
        <v>0</v>
      </c>
      <c r="L29" s="167">
        <f>IF(COLUMN()-1&lt;=4,'2_Inputs'!$B$133,IF(COLUMN()-1&lt;=16,'2_Inputs'!$B$134,IF(COLUMN()-1&lt;=28,'2_Inputs'!$B$135,IF(COLUMN()-1&lt;=40,'2_Inputs'!$B$136,'2_Inputs'!$B$137))))</f>
        <v>0</v>
      </c>
      <c r="M29" s="167">
        <f>IF(COLUMN()-1&lt;=4,'2_Inputs'!$B$133,IF(COLUMN()-1&lt;=16,'2_Inputs'!$B$134,IF(COLUMN()-1&lt;=28,'2_Inputs'!$B$135,IF(COLUMN()-1&lt;=40,'2_Inputs'!$B$136,'2_Inputs'!$B$137))))</f>
        <v>0</v>
      </c>
      <c r="N29" s="167">
        <f>IF(COLUMN()-1&lt;=4,'2_Inputs'!$B$133,IF(COLUMN()-1&lt;=16,'2_Inputs'!$B$134,IF(COLUMN()-1&lt;=28,'2_Inputs'!$B$135,IF(COLUMN()-1&lt;=40,'2_Inputs'!$B$136,'2_Inputs'!$B$137))))</f>
        <v>0</v>
      </c>
      <c r="O29" s="167">
        <f>IF(COLUMN()-1&lt;=4,'2_Inputs'!$B$133,IF(COLUMN()-1&lt;=16,'2_Inputs'!$B$134,IF(COLUMN()-1&lt;=28,'2_Inputs'!$B$135,IF(COLUMN()-1&lt;=40,'2_Inputs'!$B$136,'2_Inputs'!$B$137))))</f>
        <v>0</v>
      </c>
      <c r="P29" s="167">
        <f>IF(COLUMN()-1&lt;=4,'2_Inputs'!$B$133,IF(COLUMN()-1&lt;=16,'2_Inputs'!$B$134,IF(COLUMN()-1&lt;=28,'2_Inputs'!$B$135,IF(COLUMN()-1&lt;=40,'2_Inputs'!$B$136,'2_Inputs'!$B$137))))</f>
        <v>0</v>
      </c>
      <c r="Q29" s="167">
        <f>IF(COLUMN()-1&lt;=4,'2_Inputs'!$B$133,IF(COLUMN()-1&lt;=16,'2_Inputs'!$B$134,IF(COLUMN()-1&lt;=28,'2_Inputs'!$B$135,IF(COLUMN()-1&lt;=40,'2_Inputs'!$B$136,'2_Inputs'!$B$137))))</f>
        <v>0</v>
      </c>
      <c r="R29" s="167">
        <f>IF(COLUMN()-1&lt;=4,'2_Inputs'!$B$133,IF(COLUMN()-1&lt;=16,'2_Inputs'!$B$134,IF(COLUMN()-1&lt;=28,'2_Inputs'!$B$135,IF(COLUMN()-1&lt;=40,'2_Inputs'!$B$136,'2_Inputs'!$B$137))))</f>
        <v>400</v>
      </c>
      <c r="S29" s="167">
        <f>IF(COLUMN()-1&lt;=4,'2_Inputs'!$B$133,IF(COLUMN()-1&lt;=16,'2_Inputs'!$B$134,IF(COLUMN()-1&lt;=28,'2_Inputs'!$B$135,IF(COLUMN()-1&lt;=40,'2_Inputs'!$B$136,'2_Inputs'!$B$137))))</f>
        <v>400</v>
      </c>
      <c r="T29" s="167">
        <f>IF(COLUMN()-1&lt;=4,'2_Inputs'!$B$133,IF(COLUMN()-1&lt;=16,'2_Inputs'!$B$134,IF(COLUMN()-1&lt;=28,'2_Inputs'!$B$135,IF(COLUMN()-1&lt;=40,'2_Inputs'!$B$136,'2_Inputs'!$B$137))))</f>
        <v>400</v>
      </c>
      <c r="U29" s="167">
        <f>IF(COLUMN()-1&lt;=4,'2_Inputs'!$B$133,IF(COLUMN()-1&lt;=16,'2_Inputs'!$B$134,IF(COLUMN()-1&lt;=28,'2_Inputs'!$B$135,IF(COLUMN()-1&lt;=40,'2_Inputs'!$B$136,'2_Inputs'!$B$137))))</f>
        <v>400</v>
      </c>
      <c r="V29" s="167">
        <f>IF(COLUMN()-1&lt;=4,'2_Inputs'!$B$133,IF(COLUMN()-1&lt;=16,'2_Inputs'!$B$134,IF(COLUMN()-1&lt;=28,'2_Inputs'!$B$135,IF(COLUMN()-1&lt;=40,'2_Inputs'!$B$136,'2_Inputs'!$B$137))))</f>
        <v>400</v>
      </c>
      <c r="W29" s="167">
        <f>IF(COLUMN()-1&lt;=4,'2_Inputs'!$B$133,IF(COLUMN()-1&lt;=16,'2_Inputs'!$B$134,IF(COLUMN()-1&lt;=28,'2_Inputs'!$B$135,IF(COLUMN()-1&lt;=40,'2_Inputs'!$B$136,'2_Inputs'!$B$137))))</f>
        <v>400</v>
      </c>
      <c r="X29" s="167">
        <f>IF(COLUMN()-1&lt;=4,'2_Inputs'!$B$133,IF(COLUMN()-1&lt;=16,'2_Inputs'!$B$134,IF(COLUMN()-1&lt;=28,'2_Inputs'!$B$135,IF(COLUMN()-1&lt;=40,'2_Inputs'!$B$136,'2_Inputs'!$B$137))))</f>
        <v>400</v>
      </c>
      <c r="Y29" s="167">
        <f>IF(COLUMN()-1&lt;=4,'2_Inputs'!$B$133,IF(COLUMN()-1&lt;=16,'2_Inputs'!$B$134,IF(COLUMN()-1&lt;=28,'2_Inputs'!$B$135,IF(COLUMN()-1&lt;=40,'2_Inputs'!$B$136,'2_Inputs'!$B$137))))</f>
        <v>400</v>
      </c>
      <c r="Z29" s="167">
        <f>IF(COLUMN()-1&lt;=4,'2_Inputs'!$B$133,IF(COLUMN()-1&lt;=16,'2_Inputs'!$B$134,IF(COLUMN()-1&lt;=28,'2_Inputs'!$B$135,IF(COLUMN()-1&lt;=40,'2_Inputs'!$B$136,'2_Inputs'!$B$137))))</f>
        <v>400</v>
      </c>
      <c r="AA29" s="167">
        <f>IF(COLUMN()-1&lt;=4,'2_Inputs'!$B$133,IF(COLUMN()-1&lt;=16,'2_Inputs'!$B$134,IF(COLUMN()-1&lt;=28,'2_Inputs'!$B$135,IF(COLUMN()-1&lt;=40,'2_Inputs'!$B$136,'2_Inputs'!$B$137))))</f>
        <v>400</v>
      </c>
      <c r="AB29" s="167">
        <f>IF(COLUMN()-1&lt;=4,'2_Inputs'!$B$133,IF(COLUMN()-1&lt;=16,'2_Inputs'!$B$134,IF(COLUMN()-1&lt;=28,'2_Inputs'!$B$135,IF(COLUMN()-1&lt;=40,'2_Inputs'!$B$136,'2_Inputs'!$B$137))))</f>
        <v>400</v>
      </c>
      <c r="AC29" s="167">
        <f>IF(COLUMN()-1&lt;=4,'2_Inputs'!$B$133,IF(COLUMN()-1&lt;=16,'2_Inputs'!$B$134,IF(COLUMN()-1&lt;=28,'2_Inputs'!$B$135,IF(COLUMN()-1&lt;=40,'2_Inputs'!$B$136,'2_Inputs'!$B$137))))</f>
        <v>400</v>
      </c>
      <c r="AD29" s="167">
        <f>IF(COLUMN()-1&lt;=4,'2_Inputs'!$B$133,IF(COLUMN()-1&lt;=16,'2_Inputs'!$B$134,IF(COLUMN()-1&lt;=28,'2_Inputs'!$B$135,IF(COLUMN()-1&lt;=40,'2_Inputs'!$B$136,'2_Inputs'!$B$137))))</f>
        <v>1200</v>
      </c>
      <c r="AE29" s="167">
        <f>IF(COLUMN()-1&lt;=4,'2_Inputs'!$B$133,IF(COLUMN()-1&lt;=16,'2_Inputs'!$B$134,IF(COLUMN()-1&lt;=28,'2_Inputs'!$B$135,IF(COLUMN()-1&lt;=40,'2_Inputs'!$B$136,'2_Inputs'!$B$137))))</f>
        <v>1200</v>
      </c>
      <c r="AF29" s="167">
        <f>IF(COLUMN()-1&lt;=4,'2_Inputs'!$B$133,IF(COLUMN()-1&lt;=16,'2_Inputs'!$B$134,IF(COLUMN()-1&lt;=28,'2_Inputs'!$B$135,IF(COLUMN()-1&lt;=40,'2_Inputs'!$B$136,'2_Inputs'!$B$137))))</f>
        <v>1200</v>
      </c>
      <c r="AG29" s="167">
        <f>IF(COLUMN()-1&lt;=4,'2_Inputs'!$B$133,IF(COLUMN()-1&lt;=16,'2_Inputs'!$B$134,IF(COLUMN()-1&lt;=28,'2_Inputs'!$B$135,IF(COLUMN()-1&lt;=40,'2_Inputs'!$B$136,'2_Inputs'!$B$137))))</f>
        <v>1200</v>
      </c>
      <c r="AH29" s="167">
        <f>IF(COLUMN()-1&lt;=4,'2_Inputs'!$B$133,IF(COLUMN()-1&lt;=16,'2_Inputs'!$B$134,IF(COLUMN()-1&lt;=28,'2_Inputs'!$B$135,IF(COLUMN()-1&lt;=40,'2_Inputs'!$B$136,'2_Inputs'!$B$137))))</f>
        <v>1200</v>
      </c>
      <c r="AI29" s="167">
        <f>IF(COLUMN()-1&lt;=4,'2_Inputs'!$B$133,IF(COLUMN()-1&lt;=16,'2_Inputs'!$B$134,IF(COLUMN()-1&lt;=28,'2_Inputs'!$B$135,IF(COLUMN()-1&lt;=40,'2_Inputs'!$B$136,'2_Inputs'!$B$137))))</f>
        <v>1200</v>
      </c>
      <c r="AJ29" s="167">
        <f>IF(COLUMN()-1&lt;=4,'2_Inputs'!$B$133,IF(COLUMN()-1&lt;=16,'2_Inputs'!$B$134,IF(COLUMN()-1&lt;=28,'2_Inputs'!$B$135,IF(COLUMN()-1&lt;=40,'2_Inputs'!$B$136,'2_Inputs'!$B$137))))</f>
        <v>1200</v>
      </c>
      <c r="AK29" s="167">
        <f>IF(COLUMN()-1&lt;=4,'2_Inputs'!$B$133,IF(COLUMN()-1&lt;=16,'2_Inputs'!$B$134,IF(COLUMN()-1&lt;=28,'2_Inputs'!$B$135,IF(COLUMN()-1&lt;=40,'2_Inputs'!$B$136,'2_Inputs'!$B$137))))</f>
        <v>1200</v>
      </c>
      <c r="AL29" s="167">
        <f>IF(COLUMN()-1&lt;=4,'2_Inputs'!$B$133,IF(COLUMN()-1&lt;=16,'2_Inputs'!$B$134,IF(COLUMN()-1&lt;=28,'2_Inputs'!$B$135,IF(COLUMN()-1&lt;=40,'2_Inputs'!$B$136,'2_Inputs'!$B$137))))</f>
        <v>1200</v>
      </c>
      <c r="AM29" s="167">
        <f>IF(COLUMN()-1&lt;=4,'2_Inputs'!$B$133,IF(COLUMN()-1&lt;=16,'2_Inputs'!$B$134,IF(COLUMN()-1&lt;=28,'2_Inputs'!$B$135,IF(COLUMN()-1&lt;=40,'2_Inputs'!$B$136,'2_Inputs'!$B$137))))</f>
        <v>1200</v>
      </c>
      <c r="AN29" s="167">
        <f>IF(COLUMN()-1&lt;=4,'2_Inputs'!$B$133,IF(COLUMN()-1&lt;=16,'2_Inputs'!$B$134,IF(COLUMN()-1&lt;=28,'2_Inputs'!$B$135,IF(COLUMN()-1&lt;=40,'2_Inputs'!$B$136,'2_Inputs'!$B$137))))</f>
        <v>1200</v>
      </c>
      <c r="AO29" s="167">
        <f>IF(COLUMN()-1&lt;=4,'2_Inputs'!$B$133,IF(COLUMN()-1&lt;=16,'2_Inputs'!$B$134,IF(COLUMN()-1&lt;=28,'2_Inputs'!$B$135,IF(COLUMN()-1&lt;=40,'2_Inputs'!$B$136,'2_Inputs'!$B$137))))</f>
        <v>1200</v>
      </c>
      <c r="AP29" s="167">
        <f>IF(COLUMN()-1&lt;=4,'2_Inputs'!$B$133,IF(COLUMN()-1&lt;=16,'2_Inputs'!$B$134,IF(COLUMN()-1&lt;=28,'2_Inputs'!$B$135,IF(COLUMN()-1&lt;=40,'2_Inputs'!$B$136,'2_Inputs'!$B$137))))</f>
        <v>2000</v>
      </c>
      <c r="AQ29" s="167">
        <f>IF(COLUMN()-1&lt;=4,'2_Inputs'!$B$133,IF(COLUMN()-1&lt;=16,'2_Inputs'!$B$134,IF(COLUMN()-1&lt;=28,'2_Inputs'!$B$135,IF(COLUMN()-1&lt;=40,'2_Inputs'!$B$136,'2_Inputs'!$B$137))))</f>
        <v>2000</v>
      </c>
      <c r="AR29" s="167">
        <f>IF(COLUMN()-1&lt;=4,'2_Inputs'!$B$133,IF(COLUMN()-1&lt;=16,'2_Inputs'!$B$134,IF(COLUMN()-1&lt;=28,'2_Inputs'!$B$135,IF(COLUMN()-1&lt;=40,'2_Inputs'!$B$136,'2_Inputs'!$B$137))))</f>
        <v>2000</v>
      </c>
      <c r="AS29" s="167">
        <f>IF(COLUMN()-1&lt;=4,'2_Inputs'!$B$133,IF(COLUMN()-1&lt;=16,'2_Inputs'!$B$134,IF(COLUMN()-1&lt;=28,'2_Inputs'!$B$135,IF(COLUMN()-1&lt;=40,'2_Inputs'!$B$136,'2_Inputs'!$B$137))))</f>
        <v>2000</v>
      </c>
      <c r="AT29" s="167">
        <f>IF(COLUMN()-1&lt;=4,'2_Inputs'!$B$133,IF(COLUMN()-1&lt;=16,'2_Inputs'!$B$134,IF(COLUMN()-1&lt;=28,'2_Inputs'!$B$135,IF(COLUMN()-1&lt;=40,'2_Inputs'!$B$136,'2_Inputs'!$B$137))))</f>
        <v>2000</v>
      </c>
      <c r="AU29" s="167">
        <f>IF(COLUMN()-1&lt;=4,'2_Inputs'!$B$133,IF(COLUMN()-1&lt;=16,'2_Inputs'!$B$134,IF(COLUMN()-1&lt;=28,'2_Inputs'!$B$135,IF(COLUMN()-1&lt;=40,'2_Inputs'!$B$136,'2_Inputs'!$B$137))))</f>
        <v>2000</v>
      </c>
      <c r="AV29" s="167">
        <f>IF(COLUMN()-1&lt;=4,'2_Inputs'!$B$133,IF(COLUMN()-1&lt;=16,'2_Inputs'!$B$134,IF(COLUMN()-1&lt;=28,'2_Inputs'!$B$135,IF(COLUMN()-1&lt;=40,'2_Inputs'!$B$136,'2_Inputs'!$B$137))))</f>
        <v>2000</v>
      </c>
      <c r="AW29" s="167">
        <f>IF(COLUMN()-1&lt;=4,'2_Inputs'!$B$133,IF(COLUMN()-1&lt;=16,'2_Inputs'!$B$134,IF(COLUMN()-1&lt;=28,'2_Inputs'!$B$135,IF(COLUMN()-1&lt;=40,'2_Inputs'!$B$136,'2_Inputs'!$B$137))))</f>
        <v>2000</v>
      </c>
      <c r="AX29" s="167">
        <f>IF(COLUMN()-1&lt;=4,'2_Inputs'!$B$133,IF(COLUMN()-1&lt;=16,'2_Inputs'!$B$134,IF(COLUMN()-1&lt;=28,'2_Inputs'!$B$135,IF(COLUMN()-1&lt;=40,'2_Inputs'!$B$136,'2_Inputs'!$B$137))))</f>
        <v>2000</v>
      </c>
      <c r="AY29" s="167">
        <f>IF(COLUMN()-1&lt;=4,'2_Inputs'!$B$133,IF(COLUMN()-1&lt;=16,'2_Inputs'!$B$134,IF(COLUMN()-1&lt;=28,'2_Inputs'!$B$135,IF(COLUMN()-1&lt;=40,'2_Inputs'!$B$136,'2_Inputs'!$B$137))))</f>
        <v>2000</v>
      </c>
      <c r="AZ29" s="167">
        <f>IF(COLUMN()-1&lt;=4,'2_Inputs'!$B$133,IF(COLUMN()-1&lt;=16,'2_Inputs'!$B$134,IF(COLUMN()-1&lt;=28,'2_Inputs'!$B$135,IF(COLUMN()-1&lt;=40,'2_Inputs'!$B$136,'2_Inputs'!$B$137))))</f>
        <v>2000</v>
      </c>
      <c r="BA29" s="167">
        <f>IF(COLUMN()-1&lt;=4,'2_Inputs'!$B$133,IF(COLUMN()-1&lt;=16,'2_Inputs'!$B$134,IF(COLUMN()-1&lt;=28,'2_Inputs'!$B$135,IF(COLUMN()-1&lt;=40,'2_Inputs'!$B$136,'2_Inputs'!$B$137))))</f>
        <v>2000</v>
      </c>
    </row>
    <row r="30" ht="14.25" customHeight="1">
      <c r="A30" s="8" t="s">
        <v>671</v>
      </c>
      <c r="B30" s="167">
        <f t="shared" ref="B30:BA30" si="7">SUM(B26:B29)</f>
        <v>0</v>
      </c>
      <c r="C30" s="167">
        <f t="shared" si="7"/>
        <v>0</v>
      </c>
      <c r="D30" s="167">
        <f t="shared" si="7"/>
        <v>0</v>
      </c>
      <c r="E30" s="167">
        <f t="shared" si="7"/>
        <v>0</v>
      </c>
      <c r="F30" s="167">
        <f t="shared" si="7"/>
        <v>1100</v>
      </c>
      <c r="G30" s="167">
        <f t="shared" si="7"/>
        <v>1100</v>
      </c>
      <c r="H30" s="167">
        <f t="shared" si="7"/>
        <v>1100</v>
      </c>
      <c r="I30" s="167">
        <f t="shared" si="7"/>
        <v>1100</v>
      </c>
      <c r="J30" s="167">
        <f t="shared" si="7"/>
        <v>1100</v>
      </c>
      <c r="K30" s="167">
        <f t="shared" si="7"/>
        <v>1100</v>
      </c>
      <c r="L30" s="167">
        <f t="shared" si="7"/>
        <v>1100</v>
      </c>
      <c r="M30" s="167">
        <f t="shared" si="7"/>
        <v>1100</v>
      </c>
      <c r="N30" s="167">
        <f t="shared" si="7"/>
        <v>1100</v>
      </c>
      <c r="O30" s="167">
        <f t="shared" si="7"/>
        <v>1100</v>
      </c>
      <c r="P30" s="167">
        <f t="shared" si="7"/>
        <v>1100</v>
      </c>
      <c r="Q30" s="167">
        <f t="shared" si="7"/>
        <v>1100</v>
      </c>
      <c r="R30" s="169">
        <f t="shared" si="7"/>
        <v>52600</v>
      </c>
      <c r="S30" s="167">
        <f t="shared" si="7"/>
        <v>2600</v>
      </c>
      <c r="T30" s="167">
        <f t="shared" si="7"/>
        <v>2600</v>
      </c>
      <c r="U30" s="167">
        <f t="shared" si="7"/>
        <v>2600</v>
      </c>
      <c r="V30" s="167">
        <f t="shared" si="7"/>
        <v>2600</v>
      </c>
      <c r="W30" s="167">
        <f t="shared" si="7"/>
        <v>2600</v>
      </c>
      <c r="X30" s="167">
        <f t="shared" si="7"/>
        <v>2600</v>
      </c>
      <c r="Y30" s="167">
        <f t="shared" si="7"/>
        <v>2600</v>
      </c>
      <c r="Z30" s="167">
        <f t="shared" si="7"/>
        <v>2600</v>
      </c>
      <c r="AA30" s="167">
        <f t="shared" si="7"/>
        <v>2600</v>
      </c>
      <c r="AB30" s="167">
        <f t="shared" si="7"/>
        <v>2600</v>
      </c>
      <c r="AC30" s="167">
        <f t="shared" si="7"/>
        <v>2600</v>
      </c>
      <c r="AD30" s="169">
        <f t="shared" si="7"/>
        <v>105700</v>
      </c>
      <c r="AE30" s="167">
        <f t="shared" si="7"/>
        <v>5700</v>
      </c>
      <c r="AF30" s="167">
        <f t="shared" si="7"/>
        <v>5700</v>
      </c>
      <c r="AG30" s="167">
        <f t="shared" si="7"/>
        <v>5700</v>
      </c>
      <c r="AH30" s="167">
        <f t="shared" si="7"/>
        <v>5700</v>
      </c>
      <c r="AI30" s="167">
        <f t="shared" si="7"/>
        <v>5700</v>
      </c>
      <c r="AJ30" s="167">
        <f t="shared" si="7"/>
        <v>5700</v>
      </c>
      <c r="AK30" s="167">
        <f t="shared" si="7"/>
        <v>5700</v>
      </c>
      <c r="AL30" s="167">
        <f t="shared" si="7"/>
        <v>5700</v>
      </c>
      <c r="AM30" s="167">
        <f t="shared" si="7"/>
        <v>5700</v>
      </c>
      <c r="AN30" s="167">
        <f t="shared" si="7"/>
        <v>5700</v>
      </c>
      <c r="AO30" s="167">
        <f t="shared" si="7"/>
        <v>5700</v>
      </c>
      <c r="AP30" s="170">
        <f t="shared" si="7"/>
        <v>107000</v>
      </c>
      <c r="AQ30" s="167">
        <f t="shared" si="7"/>
        <v>7000</v>
      </c>
      <c r="AR30" s="167">
        <f t="shared" si="7"/>
        <v>7000</v>
      </c>
      <c r="AS30" s="167">
        <f t="shared" si="7"/>
        <v>7000</v>
      </c>
      <c r="AT30" s="167">
        <f t="shared" si="7"/>
        <v>7000</v>
      </c>
      <c r="AU30" s="167">
        <f t="shared" si="7"/>
        <v>7000</v>
      </c>
      <c r="AV30" s="167">
        <f t="shared" si="7"/>
        <v>7000</v>
      </c>
      <c r="AW30" s="167">
        <f t="shared" si="7"/>
        <v>7000</v>
      </c>
      <c r="AX30" s="167">
        <f t="shared" si="7"/>
        <v>7000</v>
      </c>
      <c r="AY30" s="167">
        <f t="shared" si="7"/>
        <v>7000</v>
      </c>
      <c r="AZ30" s="167">
        <f t="shared" si="7"/>
        <v>7000</v>
      </c>
      <c r="BA30" s="167">
        <f t="shared" si="7"/>
        <v>7000</v>
      </c>
    </row>
    <row r="31" ht="14.25" customHeight="1">
      <c r="A31" s="153" t="s">
        <v>672</v>
      </c>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row>
    <row r="32" ht="14.25" customHeight="1">
      <c r="A32" s="7" t="s">
        <v>673</v>
      </c>
      <c r="B32" s="167">
        <f>IF(COLUMN()-1&lt;=4,'2_Inputs'!$B$147,IF(COLUMN()-1&lt;=16,'2_Inputs'!$B$148,IF(COLUMN()-1&lt;=28,'2_Inputs'!$B$149,IF(COLUMN()-1&lt;=40,'2_Inputs'!$B$150,'2_Inputs'!$B$151))))</f>
        <v>42</v>
      </c>
      <c r="C32" s="167">
        <f>IF(COLUMN()-1&lt;=4,'2_Inputs'!$B$147,IF(COLUMN()-1&lt;=16,'2_Inputs'!$B$148,IF(COLUMN()-1&lt;=28,'2_Inputs'!$B$149,IF(COLUMN()-1&lt;=40,'2_Inputs'!$B$150,'2_Inputs'!$B$151))))</f>
        <v>42</v>
      </c>
      <c r="D32" s="167">
        <f>IF(COLUMN()-1&lt;=4,'2_Inputs'!$B$147,IF(COLUMN()-1&lt;=16,'2_Inputs'!$B$148,IF(COLUMN()-1&lt;=28,'2_Inputs'!$B$149,IF(COLUMN()-1&lt;=40,'2_Inputs'!$B$150,'2_Inputs'!$B$151))))</f>
        <v>42</v>
      </c>
      <c r="E32" s="167">
        <f>IF(COLUMN()-1&lt;=4,'2_Inputs'!$B$147,IF(COLUMN()-1&lt;=16,'2_Inputs'!$B$148,IF(COLUMN()-1&lt;=28,'2_Inputs'!$B$149,IF(COLUMN()-1&lt;=40,'2_Inputs'!$B$150,'2_Inputs'!$B$151))))</f>
        <v>42</v>
      </c>
      <c r="F32" s="167">
        <f>IF(COLUMN()-1&lt;=4,'2_Inputs'!$B$147,IF(COLUMN()-1&lt;=16,'2_Inputs'!$B$148,IF(COLUMN()-1&lt;=28,'2_Inputs'!$B$149,IF(COLUMN()-1&lt;=40,'2_Inputs'!$B$150,'2_Inputs'!$B$151))))</f>
        <v>300</v>
      </c>
      <c r="G32" s="167">
        <f>IF(COLUMN()-1&lt;=4,'2_Inputs'!$B$147,IF(COLUMN()-1&lt;=16,'2_Inputs'!$B$148,IF(COLUMN()-1&lt;=28,'2_Inputs'!$B$149,IF(COLUMN()-1&lt;=40,'2_Inputs'!$B$150,'2_Inputs'!$B$151))))</f>
        <v>300</v>
      </c>
      <c r="H32" s="167">
        <f>IF(COLUMN()-1&lt;=4,'2_Inputs'!$B$147,IF(COLUMN()-1&lt;=16,'2_Inputs'!$B$148,IF(COLUMN()-1&lt;=28,'2_Inputs'!$B$149,IF(COLUMN()-1&lt;=40,'2_Inputs'!$B$150,'2_Inputs'!$B$151))))</f>
        <v>300</v>
      </c>
      <c r="I32" s="167">
        <f>IF(COLUMN()-1&lt;=4,'2_Inputs'!$B$147,IF(COLUMN()-1&lt;=16,'2_Inputs'!$B$148,IF(COLUMN()-1&lt;=28,'2_Inputs'!$B$149,IF(COLUMN()-1&lt;=40,'2_Inputs'!$B$150,'2_Inputs'!$B$151))))</f>
        <v>300</v>
      </c>
      <c r="J32" s="167">
        <f>IF(COLUMN()-1&lt;=4,'2_Inputs'!$B$147,IF(COLUMN()-1&lt;=16,'2_Inputs'!$B$148,IF(COLUMN()-1&lt;=28,'2_Inputs'!$B$149,IF(COLUMN()-1&lt;=40,'2_Inputs'!$B$150,'2_Inputs'!$B$151))))</f>
        <v>300</v>
      </c>
      <c r="K32" s="167">
        <f>IF(COLUMN()-1&lt;=4,'2_Inputs'!$B$147,IF(COLUMN()-1&lt;=16,'2_Inputs'!$B$148,IF(COLUMN()-1&lt;=28,'2_Inputs'!$B$149,IF(COLUMN()-1&lt;=40,'2_Inputs'!$B$150,'2_Inputs'!$B$151))))</f>
        <v>300</v>
      </c>
      <c r="L32" s="167">
        <f>IF(COLUMN()-1&lt;=4,'2_Inputs'!$B$147,IF(COLUMN()-1&lt;=16,'2_Inputs'!$B$148,IF(COLUMN()-1&lt;=28,'2_Inputs'!$B$149,IF(COLUMN()-1&lt;=40,'2_Inputs'!$B$150,'2_Inputs'!$B$151))))</f>
        <v>300</v>
      </c>
      <c r="M32" s="167">
        <f>IF(COLUMN()-1&lt;=4,'2_Inputs'!$B$147,IF(COLUMN()-1&lt;=16,'2_Inputs'!$B$148,IF(COLUMN()-1&lt;=28,'2_Inputs'!$B$149,IF(COLUMN()-1&lt;=40,'2_Inputs'!$B$150,'2_Inputs'!$B$151))))</f>
        <v>300</v>
      </c>
      <c r="N32" s="167">
        <f>IF(COLUMN()-1&lt;=4,'2_Inputs'!$B$147,IF(COLUMN()-1&lt;=16,'2_Inputs'!$B$148,IF(COLUMN()-1&lt;=28,'2_Inputs'!$B$149,IF(COLUMN()-1&lt;=40,'2_Inputs'!$B$150,'2_Inputs'!$B$151))))</f>
        <v>300</v>
      </c>
      <c r="O32" s="167">
        <f>IF(COLUMN()-1&lt;=4,'2_Inputs'!$B$147,IF(COLUMN()-1&lt;=16,'2_Inputs'!$B$148,IF(COLUMN()-1&lt;=28,'2_Inputs'!$B$149,IF(COLUMN()-1&lt;=40,'2_Inputs'!$B$150,'2_Inputs'!$B$151))))</f>
        <v>300</v>
      </c>
      <c r="P32" s="167">
        <f>IF(COLUMN()-1&lt;=4,'2_Inputs'!$B$147,IF(COLUMN()-1&lt;=16,'2_Inputs'!$B$148,IF(COLUMN()-1&lt;=28,'2_Inputs'!$B$149,IF(COLUMN()-1&lt;=40,'2_Inputs'!$B$150,'2_Inputs'!$B$151))))</f>
        <v>300</v>
      </c>
      <c r="Q32" s="167">
        <f>IF(COLUMN()-1&lt;=4,'2_Inputs'!$B$147,IF(COLUMN()-1&lt;=16,'2_Inputs'!$B$148,IF(COLUMN()-1&lt;=28,'2_Inputs'!$B$149,IF(COLUMN()-1&lt;=40,'2_Inputs'!$B$150,'2_Inputs'!$B$151))))</f>
        <v>300</v>
      </c>
      <c r="R32" s="167">
        <f>IF(COLUMN()-1&lt;=4,'2_Inputs'!$B$147,IF(COLUMN()-1&lt;=16,'2_Inputs'!$B$148,IF(COLUMN()-1&lt;=28,'2_Inputs'!$B$149,IF(COLUMN()-1&lt;=40,'2_Inputs'!$B$150,'2_Inputs'!$B$151))))</f>
        <v>600</v>
      </c>
      <c r="S32" s="167">
        <f>IF(COLUMN()-1&lt;=4,'2_Inputs'!$B$147,IF(COLUMN()-1&lt;=16,'2_Inputs'!$B$148,IF(COLUMN()-1&lt;=28,'2_Inputs'!$B$149,IF(COLUMN()-1&lt;=40,'2_Inputs'!$B$150,'2_Inputs'!$B$151))))</f>
        <v>600</v>
      </c>
      <c r="T32" s="167">
        <f>IF(COLUMN()-1&lt;=4,'2_Inputs'!$B$147,IF(COLUMN()-1&lt;=16,'2_Inputs'!$B$148,IF(COLUMN()-1&lt;=28,'2_Inputs'!$B$149,IF(COLUMN()-1&lt;=40,'2_Inputs'!$B$150,'2_Inputs'!$B$151))))</f>
        <v>600</v>
      </c>
      <c r="U32" s="167">
        <f>IF(COLUMN()-1&lt;=4,'2_Inputs'!$B$147,IF(COLUMN()-1&lt;=16,'2_Inputs'!$B$148,IF(COLUMN()-1&lt;=28,'2_Inputs'!$B$149,IF(COLUMN()-1&lt;=40,'2_Inputs'!$B$150,'2_Inputs'!$B$151))))</f>
        <v>600</v>
      </c>
      <c r="V32" s="167">
        <f>IF(COLUMN()-1&lt;=4,'2_Inputs'!$B$147,IF(COLUMN()-1&lt;=16,'2_Inputs'!$B$148,IF(COLUMN()-1&lt;=28,'2_Inputs'!$B$149,IF(COLUMN()-1&lt;=40,'2_Inputs'!$B$150,'2_Inputs'!$B$151))))</f>
        <v>600</v>
      </c>
      <c r="W32" s="167">
        <f>IF(COLUMN()-1&lt;=4,'2_Inputs'!$B$147,IF(COLUMN()-1&lt;=16,'2_Inputs'!$B$148,IF(COLUMN()-1&lt;=28,'2_Inputs'!$B$149,IF(COLUMN()-1&lt;=40,'2_Inputs'!$B$150,'2_Inputs'!$B$151))))</f>
        <v>600</v>
      </c>
      <c r="X32" s="167">
        <f>IF(COLUMN()-1&lt;=4,'2_Inputs'!$B$147,IF(COLUMN()-1&lt;=16,'2_Inputs'!$B$148,IF(COLUMN()-1&lt;=28,'2_Inputs'!$B$149,IF(COLUMN()-1&lt;=40,'2_Inputs'!$B$150,'2_Inputs'!$B$151))))</f>
        <v>600</v>
      </c>
      <c r="Y32" s="167">
        <f>IF(COLUMN()-1&lt;=4,'2_Inputs'!$B$147,IF(COLUMN()-1&lt;=16,'2_Inputs'!$B$148,IF(COLUMN()-1&lt;=28,'2_Inputs'!$B$149,IF(COLUMN()-1&lt;=40,'2_Inputs'!$B$150,'2_Inputs'!$B$151))))</f>
        <v>600</v>
      </c>
      <c r="Z32" s="167">
        <f>IF(COLUMN()-1&lt;=4,'2_Inputs'!$B$147,IF(COLUMN()-1&lt;=16,'2_Inputs'!$B$148,IF(COLUMN()-1&lt;=28,'2_Inputs'!$B$149,IF(COLUMN()-1&lt;=40,'2_Inputs'!$B$150,'2_Inputs'!$B$151))))</f>
        <v>600</v>
      </c>
      <c r="AA32" s="167">
        <f>IF(COLUMN()-1&lt;=4,'2_Inputs'!$B$147,IF(COLUMN()-1&lt;=16,'2_Inputs'!$B$148,IF(COLUMN()-1&lt;=28,'2_Inputs'!$B$149,IF(COLUMN()-1&lt;=40,'2_Inputs'!$B$150,'2_Inputs'!$B$151))))</f>
        <v>600</v>
      </c>
      <c r="AB32" s="167">
        <f>IF(COLUMN()-1&lt;=4,'2_Inputs'!$B$147,IF(COLUMN()-1&lt;=16,'2_Inputs'!$B$148,IF(COLUMN()-1&lt;=28,'2_Inputs'!$B$149,IF(COLUMN()-1&lt;=40,'2_Inputs'!$B$150,'2_Inputs'!$B$151))))</f>
        <v>600</v>
      </c>
      <c r="AC32" s="167">
        <f>IF(COLUMN()-1&lt;=4,'2_Inputs'!$B$147,IF(COLUMN()-1&lt;=16,'2_Inputs'!$B$148,IF(COLUMN()-1&lt;=28,'2_Inputs'!$B$149,IF(COLUMN()-1&lt;=40,'2_Inputs'!$B$150,'2_Inputs'!$B$151))))</f>
        <v>600</v>
      </c>
      <c r="AD32" s="167">
        <f>IF(COLUMN()-1&lt;=4,'2_Inputs'!$B$147,IF(COLUMN()-1&lt;=16,'2_Inputs'!$B$148,IF(COLUMN()-1&lt;=28,'2_Inputs'!$B$149,IF(COLUMN()-1&lt;=40,'2_Inputs'!$B$150,'2_Inputs'!$B$151))))</f>
        <v>900</v>
      </c>
      <c r="AE32" s="167">
        <f>IF(COLUMN()-1&lt;=4,'2_Inputs'!$B$147,IF(COLUMN()-1&lt;=16,'2_Inputs'!$B$148,IF(COLUMN()-1&lt;=28,'2_Inputs'!$B$149,IF(COLUMN()-1&lt;=40,'2_Inputs'!$B$150,'2_Inputs'!$B$151))))</f>
        <v>900</v>
      </c>
      <c r="AF32" s="167">
        <f>IF(COLUMN()-1&lt;=4,'2_Inputs'!$B$147,IF(COLUMN()-1&lt;=16,'2_Inputs'!$B$148,IF(COLUMN()-1&lt;=28,'2_Inputs'!$B$149,IF(COLUMN()-1&lt;=40,'2_Inputs'!$B$150,'2_Inputs'!$B$151))))</f>
        <v>900</v>
      </c>
      <c r="AG32" s="167">
        <f>IF(COLUMN()-1&lt;=4,'2_Inputs'!$B$147,IF(COLUMN()-1&lt;=16,'2_Inputs'!$B$148,IF(COLUMN()-1&lt;=28,'2_Inputs'!$B$149,IF(COLUMN()-1&lt;=40,'2_Inputs'!$B$150,'2_Inputs'!$B$151))))</f>
        <v>900</v>
      </c>
      <c r="AH32" s="167">
        <f>IF(COLUMN()-1&lt;=4,'2_Inputs'!$B$147,IF(COLUMN()-1&lt;=16,'2_Inputs'!$B$148,IF(COLUMN()-1&lt;=28,'2_Inputs'!$B$149,IF(COLUMN()-1&lt;=40,'2_Inputs'!$B$150,'2_Inputs'!$B$151))))</f>
        <v>900</v>
      </c>
      <c r="AI32" s="167">
        <f>IF(COLUMN()-1&lt;=4,'2_Inputs'!$B$147,IF(COLUMN()-1&lt;=16,'2_Inputs'!$B$148,IF(COLUMN()-1&lt;=28,'2_Inputs'!$B$149,IF(COLUMN()-1&lt;=40,'2_Inputs'!$B$150,'2_Inputs'!$B$151))))</f>
        <v>900</v>
      </c>
      <c r="AJ32" s="167">
        <f>IF(COLUMN()-1&lt;=4,'2_Inputs'!$B$147,IF(COLUMN()-1&lt;=16,'2_Inputs'!$B$148,IF(COLUMN()-1&lt;=28,'2_Inputs'!$B$149,IF(COLUMN()-1&lt;=40,'2_Inputs'!$B$150,'2_Inputs'!$B$151))))</f>
        <v>900</v>
      </c>
      <c r="AK32" s="167">
        <f>IF(COLUMN()-1&lt;=4,'2_Inputs'!$B$147,IF(COLUMN()-1&lt;=16,'2_Inputs'!$B$148,IF(COLUMN()-1&lt;=28,'2_Inputs'!$B$149,IF(COLUMN()-1&lt;=40,'2_Inputs'!$B$150,'2_Inputs'!$B$151))))</f>
        <v>900</v>
      </c>
      <c r="AL32" s="167">
        <f>IF(COLUMN()-1&lt;=4,'2_Inputs'!$B$147,IF(COLUMN()-1&lt;=16,'2_Inputs'!$B$148,IF(COLUMN()-1&lt;=28,'2_Inputs'!$B$149,IF(COLUMN()-1&lt;=40,'2_Inputs'!$B$150,'2_Inputs'!$B$151))))</f>
        <v>900</v>
      </c>
      <c r="AM32" s="167">
        <f>IF(COLUMN()-1&lt;=4,'2_Inputs'!$B$147,IF(COLUMN()-1&lt;=16,'2_Inputs'!$B$148,IF(COLUMN()-1&lt;=28,'2_Inputs'!$B$149,IF(COLUMN()-1&lt;=40,'2_Inputs'!$B$150,'2_Inputs'!$B$151))))</f>
        <v>900</v>
      </c>
      <c r="AN32" s="167">
        <f>IF(COLUMN()-1&lt;=4,'2_Inputs'!$B$147,IF(COLUMN()-1&lt;=16,'2_Inputs'!$B$148,IF(COLUMN()-1&lt;=28,'2_Inputs'!$B$149,IF(COLUMN()-1&lt;=40,'2_Inputs'!$B$150,'2_Inputs'!$B$151))))</f>
        <v>900</v>
      </c>
      <c r="AO32" s="167">
        <f>IF(COLUMN()-1&lt;=4,'2_Inputs'!$B$147,IF(COLUMN()-1&lt;=16,'2_Inputs'!$B$148,IF(COLUMN()-1&lt;=28,'2_Inputs'!$B$149,IF(COLUMN()-1&lt;=40,'2_Inputs'!$B$150,'2_Inputs'!$B$151))))</f>
        <v>900</v>
      </c>
      <c r="AP32" s="167">
        <f>IF(COLUMN()-1&lt;=4,'2_Inputs'!$B$147,IF(COLUMN()-1&lt;=16,'2_Inputs'!$B$148,IF(COLUMN()-1&lt;=28,'2_Inputs'!$B$149,IF(COLUMN()-1&lt;=40,'2_Inputs'!$B$150,'2_Inputs'!$B$151))))</f>
        <v>1200</v>
      </c>
      <c r="AQ32" s="167">
        <f>IF(COLUMN()-1&lt;=4,'2_Inputs'!$B$147,IF(COLUMN()-1&lt;=16,'2_Inputs'!$B$148,IF(COLUMN()-1&lt;=28,'2_Inputs'!$B$149,IF(COLUMN()-1&lt;=40,'2_Inputs'!$B$150,'2_Inputs'!$B$151))))</f>
        <v>1200</v>
      </c>
      <c r="AR32" s="167">
        <f>IF(COLUMN()-1&lt;=4,'2_Inputs'!$B$147,IF(COLUMN()-1&lt;=16,'2_Inputs'!$B$148,IF(COLUMN()-1&lt;=28,'2_Inputs'!$B$149,IF(COLUMN()-1&lt;=40,'2_Inputs'!$B$150,'2_Inputs'!$B$151))))</f>
        <v>1200</v>
      </c>
      <c r="AS32" s="167">
        <f>IF(COLUMN()-1&lt;=4,'2_Inputs'!$B$147,IF(COLUMN()-1&lt;=16,'2_Inputs'!$B$148,IF(COLUMN()-1&lt;=28,'2_Inputs'!$B$149,IF(COLUMN()-1&lt;=40,'2_Inputs'!$B$150,'2_Inputs'!$B$151))))</f>
        <v>1200</v>
      </c>
      <c r="AT32" s="167">
        <f>IF(COLUMN()-1&lt;=4,'2_Inputs'!$B$147,IF(COLUMN()-1&lt;=16,'2_Inputs'!$B$148,IF(COLUMN()-1&lt;=28,'2_Inputs'!$B$149,IF(COLUMN()-1&lt;=40,'2_Inputs'!$B$150,'2_Inputs'!$B$151))))</f>
        <v>1200</v>
      </c>
      <c r="AU32" s="167">
        <f>IF(COLUMN()-1&lt;=4,'2_Inputs'!$B$147,IF(COLUMN()-1&lt;=16,'2_Inputs'!$B$148,IF(COLUMN()-1&lt;=28,'2_Inputs'!$B$149,IF(COLUMN()-1&lt;=40,'2_Inputs'!$B$150,'2_Inputs'!$B$151))))</f>
        <v>1200</v>
      </c>
      <c r="AV32" s="167">
        <f>IF(COLUMN()-1&lt;=4,'2_Inputs'!$B$147,IF(COLUMN()-1&lt;=16,'2_Inputs'!$B$148,IF(COLUMN()-1&lt;=28,'2_Inputs'!$B$149,IF(COLUMN()-1&lt;=40,'2_Inputs'!$B$150,'2_Inputs'!$B$151))))</f>
        <v>1200</v>
      </c>
      <c r="AW32" s="167">
        <f>IF(COLUMN()-1&lt;=4,'2_Inputs'!$B$147,IF(COLUMN()-1&lt;=16,'2_Inputs'!$B$148,IF(COLUMN()-1&lt;=28,'2_Inputs'!$B$149,IF(COLUMN()-1&lt;=40,'2_Inputs'!$B$150,'2_Inputs'!$B$151))))</f>
        <v>1200</v>
      </c>
      <c r="AX32" s="167">
        <f>IF(COLUMN()-1&lt;=4,'2_Inputs'!$B$147,IF(COLUMN()-1&lt;=16,'2_Inputs'!$B$148,IF(COLUMN()-1&lt;=28,'2_Inputs'!$B$149,IF(COLUMN()-1&lt;=40,'2_Inputs'!$B$150,'2_Inputs'!$B$151))))</f>
        <v>1200</v>
      </c>
      <c r="AY32" s="167">
        <f>IF(COLUMN()-1&lt;=4,'2_Inputs'!$B$147,IF(COLUMN()-1&lt;=16,'2_Inputs'!$B$148,IF(COLUMN()-1&lt;=28,'2_Inputs'!$B$149,IF(COLUMN()-1&lt;=40,'2_Inputs'!$B$150,'2_Inputs'!$B$151))))</f>
        <v>1200</v>
      </c>
      <c r="AZ32" s="167">
        <f>IF(COLUMN()-1&lt;=4,'2_Inputs'!$B$147,IF(COLUMN()-1&lt;=16,'2_Inputs'!$B$148,IF(COLUMN()-1&lt;=28,'2_Inputs'!$B$149,IF(COLUMN()-1&lt;=40,'2_Inputs'!$B$150,'2_Inputs'!$B$151))))</f>
        <v>1200</v>
      </c>
      <c r="BA32" s="167">
        <f>IF(COLUMN()-1&lt;=4,'2_Inputs'!$B$147,IF(COLUMN()-1&lt;=16,'2_Inputs'!$B$148,IF(COLUMN()-1&lt;=28,'2_Inputs'!$B$149,IF(COLUMN()-1&lt;=40,'2_Inputs'!$B$150,'2_Inputs'!$B$151))))</f>
        <v>1200</v>
      </c>
    </row>
    <row r="33" ht="14.25" customHeight="1">
      <c r="A33" s="7" t="s">
        <v>674</v>
      </c>
      <c r="B33" s="167">
        <f>IF(COLUMN()-1&lt;=4,'2_Inputs'!$B$153,IF(COLUMN()-1&lt;=16,'2_Inputs'!$B$154,IF(COLUMN()-1&lt;=28,'2_Inputs'!$B$155,IF(COLUMN()-1&lt;=40,'2_Inputs'!$B$156,'2_Inputs'!$B$157))))</f>
        <v>50</v>
      </c>
      <c r="C33" s="167">
        <f>IF(COLUMN()-1&lt;=4,'2_Inputs'!$B$153,IF(COLUMN()-1&lt;=16,'2_Inputs'!$B$154,IF(COLUMN()-1&lt;=28,'2_Inputs'!$B$155,IF(COLUMN()-1&lt;=40,'2_Inputs'!$B$156,'2_Inputs'!$B$157))))</f>
        <v>50</v>
      </c>
      <c r="D33" s="167">
        <f>IF(COLUMN()-1&lt;=4,'2_Inputs'!$B$153,IF(COLUMN()-1&lt;=16,'2_Inputs'!$B$154,IF(COLUMN()-1&lt;=28,'2_Inputs'!$B$155,IF(COLUMN()-1&lt;=40,'2_Inputs'!$B$156,'2_Inputs'!$B$157))))</f>
        <v>50</v>
      </c>
      <c r="E33" s="167">
        <f>IF(COLUMN()-1&lt;=4,'2_Inputs'!$B$153,IF(COLUMN()-1&lt;=16,'2_Inputs'!$B$154,IF(COLUMN()-1&lt;=28,'2_Inputs'!$B$155,IF(COLUMN()-1&lt;=40,'2_Inputs'!$B$156,'2_Inputs'!$B$157))))</f>
        <v>50</v>
      </c>
      <c r="F33" s="167">
        <f>IF(COLUMN()-1&lt;=4,'2_Inputs'!$B$153,IF(COLUMN()-1&lt;=16,'2_Inputs'!$B$154,IF(COLUMN()-1&lt;=28,'2_Inputs'!$B$155,IF(COLUMN()-1&lt;=40,'2_Inputs'!$B$156,'2_Inputs'!$B$157))))</f>
        <v>150</v>
      </c>
      <c r="G33" s="167">
        <f>IF(COLUMN()-1&lt;=4,'2_Inputs'!$B$153,IF(COLUMN()-1&lt;=16,'2_Inputs'!$B$154,IF(COLUMN()-1&lt;=28,'2_Inputs'!$B$155,IF(COLUMN()-1&lt;=40,'2_Inputs'!$B$156,'2_Inputs'!$B$157))))</f>
        <v>150</v>
      </c>
      <c r="H33" s="167">
        <f>IF(COLUMN()-1&lt;=4,'2_Inputs'!$B$153,IF(COLUMN()-1&lt;=16,'2_Inputs'!$B$154,IF(COLUMN()-1&lt;=28,'2_Inputs'!$B$155,IF(COLUMN()-1&lt;=40,'2_Inputs'!$B$156,'2_Inputs'!$B$157))))</f>
        <v>150</v>
      </c>
      <c r="I33" s="167">
        <f>IF(COLUMN()-1&lt;=4,'2_Inputs'!$B$153,IF(COLUMN()-1&lt;=16,'2_Inputs'!$B$154,IF(COLUMN()-1&lt;=28,'2_Inputs'!$B$155,IF(COLUMN()-1&lt;=40,'2_Inputs'!$B$156,'2_Inputs'!$B$157))))</f>
        <v>150</v>
      </c>
      <c r="J33" s="167">
        <f>IF(COLUMN()-1&lt;=4,'2_Inputs'!$B$153,IF(COLUMN()-1&lt;=16,'2_Inputs'!$B$154,IF(COLUMN()-1&lt;=28,'2_Inputs'!$B$155,IF(COLUMN()-1&lt;=40,'2_Inputs'!$B$156,'2_Inputs'!$B$157))))</f>
        <v>150</v>
      </c>
      <c r="K33" s="167">
        <f>IF(COLUMN()-1&lt;=4,'2_Inputs'!$B$153,IF(COLUMN()-1&lt;=16,'2_Inputs'!$B$154,IF(COLUMN()-1&lt;=28,'2_Inputs'!$B$155,IF(COLUMN()-1&lt;=40,'2_Inputs'!$B$156,'2_Inputs'!$B$157))))</f>
        <v>150</v>
      </c>
      <c r="L33" s="167">
        <f>IF(COLUMN()-1&lt;=4,'2_Inputs'!$B$153,IF(COLUMN()-1&lt;=16,'2_Inputs'!$B$154,IF(COLUMN()-1&lt;=28,'2_Inputs'!$B$155,IF(COLUMN()-1&lt;=40,'2_Inputs'!$B$156,'2_Inputs'!$B$157))))</f>
        <v>150</v>
      </c>
      <c r="M33" s="167">
        <f>IF(COLUMN()-1&lt;=4,'2_Inputs'!$B$153,IF(COLUMN()-1&lt;=16,'2_Inputs'!$B$154,IF(COLUMN()-1&lt;=28,'2_Inputs'!$B$155,IF(COLUMN()-1&lt;=40,'2_Inputs'!$B$156,'2_Inputs'!$B$157))))</f>
        <v>150</v>
      </c>
      <c r="N33" s="167">
        <f>IF(COLUMN()-1&lt;=4,'2_Inputs'!$B$153,IF(COLUMN()-1&lt;=16,'2_Inputs'!$B$154,IF(COLUMN()-1&lt;=28,'2_Inputs'!$B$155,IF(COLUMN()-1&lt;=40,'2_Inputs'!$B$156,'2_Inputs'!$B$157))))</f>
        <v>150</v>
      </c>
      <c r="O33" s="167">
        <f>IF(COLUMN()-1&lt;=4,'2_Inputs'!$B$153,IF(COLUMN()-1&lt;=16,'2_Inputs'!$B$154,IF(COLUMN()-1&lt;=28,'2_Inputs'!$B$155,IF(COLUMN()-1&lt;=40,'2_Inputs'!$B$156,'2_Inputs'!$B$157))))</f>
        <v>150</v>
      </c>
      <c r="P33" s="167">
        <f>IF(COLUMN()-1&lt;=4,'2_Inputs'!$B$153,IF(COLUMN()-1&lt;=16,'2_Inputs'!$B$154,IF(COLUMN()-1&lt;=28,'2_Inputs'!$B$155,IF(COLUMN()-1&lt;=40,'2_Inputs'!$B$156,'2_Inputs'!$B$157))))</f>
        <v>150</v>
      </c>
      <c r="Q33" s="167">
        <f>IF(COLUMN()-1&lt;=4,'2_Inputs'!$B$153,IF(COLUMN()-1&lt;=16,'2_Inputs'!$B$154,IF(COLUMN()-1&lt;=28,'2_Inputs'!$B$155,IF(COLUMN()-1&lt;=40,'2_Inputs'!$B$156,'2_Inputs'!$B$157))))</f>
        <v>150</v>
      </c>
      <c r="R33" s="167">
        <f>IF(COLUMN()-1&lt;=4,'2_Inputs'!$B$153,IF(COLUMN()-1&lt;=16,'2_Inputs'!$B$154,IF(COLUMN()-1&lt;=28,'2_Inputs'!$B$155,IF(COLUMN()-1&lt;=40,'2_Inputs'!$B$156,'2_Inputs'!$B$157))))</f>
        <v>250</v>
      </c>
      <c r="S33" s="167">
        <f>IF(COLUMN()-1&lt;=4,'2_Inputs'!$B$153,IF(COLUMN()-1&lt;=16,'2_Inputs'!$B$154,IF(COLUMN()-1&lt;=28,'2_Inputs'!$B$155,IF(COLUMN()-1&lt;=40,'2_Inputs'!$B$156,'2_Inputs'!$B$157))))</f>
        <v>250</v>
      </c>
      <c r="T33" s="167">
        <f>IF(COLUMN()-1&lt;=4,'2_Inputs'!$B$153,IF(COLUMN()-1&lt;=16,'2_Inputs'!$B$154,IF(COLUMN()-1&lt;=28,'2_Inputs'!$B$155,IF(COLUMN()-1&lt;=40,'2_Inputs'!$B$156,'2_Inputs'!$B$157))))</f>
        <v>250</v>
      </c>
      <c r="U33" s="167">
        <f>IF(COLUMN()-1&lt;=4,'2_Inputs'!$B$153,IF(COLUMN()-1&lt;=16,'2_Inputs'!$B$154,IF(COLUMN()-1&lt;=28,'2_Inputs'!$B$155,IF(COLUMN()-1&lt;=40,'2_Inputs'!$B$156,'2_Inputs'!$B$157))))</f>
        <v>250</v>
      </c>
      <c r="V33" s="167">
        <f>IF(COLUMN()-1&lt;=4,'2_Inputs'!$B$153,IF(COLUMN()-1&lt;=16,'2_Inputs'!$B$154,IF(COLUMN()-1&lt;=28,'2_Inputs'!$B$155,IF(COLUMN()-1&lt;=40,'2_Inputs'!$B$156,'2_Inputs'!$B$157))))</f>
        <v>250</v>
      </c>
      <c r="W33" s="167">
        <f>IF(COLUMN()-1&lt;=4,'2_Inputs'!$B$153,IF(COLUMN()-1&lt;=16,'2_Inputs'!$B$154,IF(COLUMN()-1&lt;=28,'2_Inputs'!$B$155,IF(COLUMN()-1&lt;=40,'2_Inputs'!$B$156,'2_Inputs'!$B$157))))</f>
        <v>250</v>
      </c>
      <c r="X33" s="167">
        <f>IF(COLUMN()-1&lt;=4,'2_Inputs'!$B$153,IF(COLUMN()-1&lt;=16,'2_Inputs'!$B$154,IF(COLUMN()-1&lt;=28,'2_Inputs'!$B$155,IF(COLUMN()-1&lt;=40,'2_Inputs'!$B$156,'2_Inputs'!$B$157))))</f>
        <v>250</v>
      </c>
      <c r="Y33" s="167">
        <f>IF(COLUMN()-1&lt;=4,'2_Inputs'!$B$153,IF(COLUMN()-1&lt;=16,'2_Inputs'!$B$154,IF(COLUMN()-1&lt;=28,'2_Inputs'!$B$155,IF(COLUMN()-1&lt;=40,'2_Inputs'!$B$156,'2_Inputs'!$B$157))))</f>
        <v>250</v>
      </c>
      <c r="Z33" s="167">
        <f>IF(COLUMN()-1&lt;=4,'2_Inputs'!$B$153,IF(COLUMN()-1&lt;=16,'2_Inputs'!$B$154,IF(COLUMN()-1&lt;=28,'2_Inputs'!$B$155,IF(COLUMN()-1&lt;=40,'2_Inputs'!$B$156,'2_Inputs'!$B$157))))</f>
        <v>250</v>
      </c>
      <c r="AA33" s="167">
        <f>IF(COLUMN()-1&lt;=4,'2_Inputs'!$B$153,IF(COLUMN()-1&lt;=16,'2_Inputs'!$B$154,IF(COLUMN()-1&lt;=28,'2_Inputs'!$B$155,IF(COLUMN()-1&lt;=40,'2_Inputs'!$B$156,'2_Inputs'!$B$157))))</f>
        <v>250</v>
      </c>
      <c r="AB33" s="167">
        <f>IF(COLUMN()-1&lt;=4,'2_Inputs'!$B$153,IF(COLUMN()-1&lt;=16,'2_Inputs'!$B$154,IF(COLUMN()-1&lt;=28,'2_Inputs'!$B$155,IF(COLUMN()-1&lt;=40,'2_Inputs'!$B$156,'2_Inputs'!$B$157))))</f>
        <v>250</v>
      </c>
      <c r="AC33" s="167">
        <f>IF(COLUMN()-1&lt;=4,'2_Inputs'!$B$153,IF(COLUMN()-1&lt;=16,'2_Inputs'!$B$154,IF(COLUMN()-1&lt;=28,'2_Inputs'!$B$155,IF(COLUMN()-1&lt;=40,'2_Inputs'!$B$156,'2_Inputs'!$B$157))))</f>
        <v>250</v>
      </c>
      <c r="AD33" s="167">
        <f>IF(COLUMN()-1&lt;=4,'2_Inputs'!$B$153,IF(COLUMN()-1&lt;=16,'2_Inputs'!$B$154,IF(COLUMN()-1&lt;=28,'2_Inputs'!$B$155,IF(COLUMN()-1&lt;=40,'2_Inputs'!$B$156,'2_Inputs'!$B$157))))</f>
        <v>300</v>
      </c>
      <c r="AE33" s="167">
        <f>IF(COLUMN()-1&lt;=4,'2_Inputs'!$B$153,IF(COLUMN()-1&lt;=16,'2_Inputs'!$B$154,IF(COLUMN()-1&lt;=28,'2_Inputs'!$B$155,IF(COLUMN()-1&lt;=40,'2_Inputs'!$B$156,'2_Inputs'!$B$157))))</f>
        <v>300</v>
      </c>
      <c r="AF33" s="167">
        <f>IF(COLUMN()-1&lt;=4,'2_Inputs'!$B$153,IF(COLUMN()-1&lt;=16,'2_Inputs'!$B$154,IF(COLUMN()-1&lt;=28,'2_Inputs'!$B$155,IF(COLUMN()-1&lt;=40,'2_Inputs'!$B$156,'2_Inputs'!$B$157))))</f>
        <v>300</v>
      </c>
      <c r="AG33" s="167">
        <f>IF(COLUMN()-1&lt;=4,'2_Inputs'!$B$153,IF(COLUMN()-1&lt;=16,'2_Inputs'!$B$154,IF(COLUMN()-1&lt;=28,'2_Inputs'!$B$155,IF(COLUMN()-1&lt;=40,'2_Inputs'!$B$156,'2_Inputs'!$B$157))))</f>
        <v>300</v>
      </c>
      <c r="AH33" s="167">
        <f>IF(COLUMN()-1&lt;=4,'2_Inputs'!$B$153,IF(COLUMN()-1&lt;=16,'2_Inputs'!$B$154,IF(COLUMN()-1&lt;=28,'2_Inputs'!$B$155,IF(COLUMN()-1&lt;=40,'2_Inputs'!$B$156,'2_Inputs'!$B$157))))</f>
        <v>300</v>
      </c>
      <c r="AI33" s="167">
        <f>IF(COLUMN()-1&lt;=4,'2_Inputs'!$B$153,IF(COLUMN()-1&lt;=16,'2_Inputs'!$B$154,IF(COLUMN()-1&lt;=28,'2_Inputs'!$B$155,IF(COLUMN()-1&lt;=40,'2_Inputs'!$B$156,'2_Inputs'!$B$157))))</f>
        <v>300</v>
      </c>
      <c r="AJ33" s="167">
        <f>IF(COLUMN()-1&lt;=4,'2_Inputs'!$B$153,IF(COLUMN()-1&lt;=16,'2_Inputs'!$B$154,IF(COLUMN()-1&lt;=28,'2_Inputs'!$B$155,IF(COLUMN()-1&lt;=40,'2_Inputs'!$B$156,'2_Inputs'!$B$157))))</f>
        <v>300</v>
      </c>
      <c r="AK33" s="167">
        <f>IF(COLUMN()-1&lt;=4,'2_Inputs'!$B$153,IF(COLUMN()-1&lt;=16,'2_Inputs'!$B$154,IF(COLUMN()-1&lt;=28,'2_Inputs'!$B$155,IF(COLUMN()-1&lt;=40,'2_Inputs'!$B$156,'2_Inputs'!$B$157))))</f>
        <v>300</v>
      </c>
      <c r="AL33" s="167">
        <f>IF(COLUMN()-1&lt;=4,'2_Inputs'!$B$153,IF(COLUMN()-1&lt;=16,'2_Inputs'!$B$154,IF(COLUMN()-1&lt;=28,'2_Inputs'!$B$155,IF(COLUMN()-1&lt;=40,'2_Inputs'!$B$156,'2_Inputs'!$B$157))))</f>
        <v>300</v>
      </c>
      <c r="AM33" s="167">
        <f>IF(COLUMN()-1&lt;=4,'2_Inputs'!$B$153,IF(COLUMN()-1&lt;=16,'2_Inputs'!$B$154,IF(COLUMN()-1&lt;=28,'2_Inputs'!$B$155,IF(COLUMN()-1&lt;=40,'2_Inputs'!$B$156,'2_Inputs'!$B$157))))</f>
        <v>300</v>
      </c>
      <c r="AN33" s="167">
        <f>IF(COLUMN()-1&lt;=4,'2_Inputs'!$B$153,IF(COLUMN()-1&lt;=16,'2_Inputs'!$B$154,IF(COLUMN()-1&lt;=28,'2_Inputs'!$B$155,IF(COLUMN()-1&lt;=40,'2_Inputs'!$B$156,'2_Inputs'!$B$157))))</f>
        <v>300</v>
      </c>
      <c r="AO33" s="167">
        <f>IF(COLUMN()-1&lt;=4,'2_Inputs'!$B$153,IF(COLUMN()-1&lt;=16,'2_Inputs'!$B$154,IF(COLUMN()-1&lt;=28,'2_Inputs'!$B$155,IF(COLUMN()-1&lt;=40,'2_Inputs'!$B$156,'2_Inputs'!$B$157))))</f>
        <v>300</v>
      </c>
      <c r="AP33" s="167">
        <f>IF(COLUMN()-1&lt;=4,'2_Inputs'!$B$153,IF(COLUMN()-1&lt;=16,'2_Inputs'!$B$154,IF(COLUMN()-1&lt;=28,'2_Inputs'!$B$155,IF(COLUMN()-1&lt;=40,'2_Inputs'!$B$156,'2_Inputs'!$B$157))))</f>
        <v>350</v>
      </c>
      <c r="AQ33" s="167">
        <f>IF(COLUMN()-1&lt;=4,'2_Inputs'!$B$153,IF(COLUMN()-1&lt;=16,'2_Inputs'!$B$154,IF(COLUMN()-1&lt;=28,'2_Inputs'!$B$155,IF(COLUMN()-1&lt;=40,'2_Inputs'!$B$156,'2_Inputs'!$B$157))))</f>
        <v>350</v>
      </c>
      <c r="AR33" s="167">
        <f>IF(COLUMN()-1&lt;=4,'2_Inputs'!$B$153,IF(COLUMN()-1&lt;=16,'2_Inputs'!$B$154,IF(COLUMN()-1&lt;=28,'2_Inputs'!$B$155,IF(COLUMN()-1&lt;=40,'2_Inputs'!$B$156,'2_Inputs'!$B$157))))</f>
        <v>350</v>
      </c>
      <c r="AS33" s="167">
        <f>IF(COLUMN()-1&lt;=4,'2_Inputs'!$B$153,IF(COLUMN()-1&lt;=16,'2_Inputs'!$B$154,IF(COLUMN()-1&lt;=28,'2_Inputs'!$B$155,IF(COLUMN()-1&lt;=40,'2_Inputs'!$B$156,'2_Inputs'!$B$157))))</f>
        <v>350</v>
      </c>
      <c r="AT33" s="167">
        <f>IF(COLUMN()-1&lt;=4,'2_Inputs'!$B$153,IF(COLUMN()-1&lt;=16,'2_Inputs'!$B$154,IF(COLUMN()-1&lt;=28,'2_Inputs'!$B$155,IF(COLUMN()-1&lt;=40,'2_Inputs'!$B$156,'2_Inputs'!$B$157))))</f>
        <v>350</v>
      </c>
      <c r="AU33" s="167">
        <f>IF(COLUMN()-1&lt;=4,'2_Inputs'!$B$153,IF(COLUMN()-1&lt;=16,'2_Inputs'!$B$154,IF(COLUMN()-1&lt;=28,'2_Inputs'!$B$155,IF(COLUMN()-1&lt;=40,'2_Inputs'!$B$156,'2_Inputs'!$B$157))))</f>
        <v>350</v>
      </c>
      <c r="AV33" s="167">
        <f>IF(COLUMN()-1&lt;=4,'2_Inputs'!$B$153,IF(COLUMN()-1&lt;=16,'2_Inputs'!$B$154,IF(COLUMN()-1&lt;=28,'2_Inputs'!$B$155,IF(COLUMN()-1&lt;=40,'2_Inputs'!$B$156,'2_Inputs'!$B$157))))</f>
        <v>350</v>
      </c>
      <c r="AW33" s="167">
        <f>IF(COLUMN()-1&lt;=4,'2_Inputs'!$B$153,IF(COLUMN()-1&lt;=16,'2_Inputs'!$B$154,IF(COLUMN()-1&lt;=28,'2_Inputs'!$B$155,IF(COLUMN()-1&lt;=40,'2_Inputs'!$B$156,'2_Inputs'!$B$157))))</f>
        <v>350</v>
      </c>
      <c r="AX33" s="167">
        <f>IF(COLUMN()-1&lt;=4,'2_Inputs'!$B$153,IF(COLUMN()-1&lt;=16,'2_Inputs'!$B$154,IF(COLUMN()-1&lt;=28,'2_Inputs'!$B$155,IF(COLUMN()-1&lt;=40,'2_Inputs'!$B$156,'2_Inputs'!$B$157))))</f>
        <v>350</v>
      </c>
      <c r="AY33" s="167">
        <f>IF(COLUMN()-1&lt;=4,'2_Inputs'!$B$153,IF(COLUMN()-1&lt;=16,'2_Inputs'!$B$154,IF(COLUMN()-1&lt;=28,'2_Inputs'!$B$155,IF(COLUMN()-1&lt;=40,'2_Inputs'!$B$156,'2_Inputs'!$B$157))))</f>
        <v>350</v>
      </c>
      <c r="AZ33" s="167">
        <f>IF(COLUMN()-1&lt;=4,'2_Inputs'!$B$153,IF(COLUMN()-1&lt;=16,'2_Inputs'!$B$154,IF(COLUMN()-1&lt;=28,'2_Inputs'!$B$155,IF(COLUMN()-1&lt;=40,'2_Inputs'!$B$156,'2_Inputs'!$B$157))))</f>
        <v>350</v>
      </c>
      <c r="BA33" s="167">
        <f>IF(COLUMN()-1&lt;=4,'2_Inputs'!$B$153,IF(COLUMN()-1&lt;=16,'2_Inputs'!$B$154,IF(COLUMN()-1&lt;=28,'2_Inputs'!$B$155,IF(COLUMN()-1&lt;=40,'2_Inputs'!$B$156,'2_Inputs'!$B$157))))</f>
        <v>350</v>
      </c>
    </row>
    <row r="34" ht="14.25" customHeight="1">
      <c r="A34" s="7" t="s">
        <v>103</v>
      </c>
      <c r="B34" s="167">
        <f>IF(COLUMN()-1&lt;=4,'2_Inputs'!$B$140,IF(COLUMN()-1&lt;=16,'2_Inputs'!$B$141,IF(COLUMN()-1&lt;=28,'2_Inputs'!$B$142,IF(COLUMN()-1&lt;=40,'2_Inputs'!$B$143,'2_Inputs'!$B$144))))</f>
        <v>0</v>
      </c>
      <c r="C34" s="167">
        <f>IF(COLUMN()-1&lt;=4,'2_Inputs'!$B$140,IF(COLUMN()-1&lt;=16,'2_Inputs'!$B$141,IF(COLUMN()-1&lt;=28,'2_Inputs'!$B$142,IF(COLUMN()-1&lt;=40,'2_Inputs'!$B$143,'2_Inputs'!$B$144))))</f>
        <v>0</v>
      </c>
      <c r="D34" s="167">
        <f>IF(COLUMN()-1&lt;=4,'2_Inputs'!$B$140,IF(COLUMN()-1&lt;=16,'2_Inputs'!$B$141,IF(COLUMN()-1&lt;=28,'2_Inputs'!$B$142,IF(COLUMN()-1&lt;=40,'2_Inputs'!$B$143,'2_Inputs'!$B$144))))</f>
        <v>0</v>
      </c>
      <c r="E34" s="167">
        <f>IF(COLUMN()-1&lt;=4,'2_Inputs'!$B$140,IF(COLUMN()-1&lt;=16,'2_Inputs'!$B$141,IF(COLUMN()-1&lt;=28,'2_Inputs'!$B$142,IF(COLUMN()-1&lt;=40,'2_Inputs'!$B$143,'2_Inputs'!$B$144))))</f>
        <v>0</v>
      </c>
      <c r="F34" s="167">
        <f>IF(COLUMN()-1&lt;=4,'2_Inputs'!$B$140,IF(COLUMN()-1&lt;=16,'2_Inputs'!$B$141,IF(COLUMN()-1&lt;=28,'2_Inputs'!$B$142,IF(COLUMN()-1&lt;=40,'2_Inputs'!$B$143,'2_Inputs'!$B$144))))</f>
        <v>300</v>
      </c>
      <c r="G34" s="167">
        <f>IF(COLUMN()-1&lt;=4,'2_Inputs'!$B$140,IF(COLUMN()-1&lt;=16,'2_Inputs'!$B$141,IF(COLUMN()-1&lt;=28,'2_Inputs'!$B$142,IF(COLUMN()-1&lt;=40,'2_Inputs'!$B$143,'2_Inputs'!$B$144))))</f>
        <v>300</v>
      </c>
      <c r="H34" s="167">
        <f>IF(COLUMN()-1&lt;=4,'2_Inputs'!$B$140,IF(COLUMN()-1&lt;=16,'2_Inputs'!$B$141,IF(COLUMN()-1&lt;=28,'2_Inputs'!$B$142,IF(COLUMN()-1&lt;=40,'2_Inputs'!$B$143,'2_Inputs'!$B$144))))</f>
        <v>300</v>
      </c>
      <c r="I34" s="167">
        <f>IF(COLUMN()-1&lt;=4,'2_Inputs'!$B$140,IF(COLUMN()-1&lt;=16,'2_Inputs'!$B$141,IF(COLUMN()-1&lt;=28,'2_Inputs'!$B$142,IF(COLUMN()-1&lt;=40,'2_Inputs'!$B$143,'2_Inputs'!$B$144))))</f>
        <v>300</v>
      </c>
      <c r="J34" s="167">
        <f>IF(COLUMN()-1&lt;=4,'2_Inputs'!$B$140,IF(COLUMN()-1&lt;=16,'2_Inputs'!$B$141,IF(COLUMN()-1&lt;=28,'2_Inputs'!$B$142,IF(COLUMN()-1&lt;=40,'2_Inputs'!$B$143,'2_Inputs'!$B$144))))</f>
        <v>300</v>
      </c>
      <c r="K34" s="167">
        <f>IF(COLUMN()-1&lt;=4,'2_Inputs'!$B$140,IF(COLUMN()-1&lt;=16,'2_Inputs'!$B$141,IF(COLUMN()-1&lt;=28,'2_Inputs'!$B$142,IF(COLUMN()-1&lt;=40,'2_Inputs'!$B$143,'2_Inputs'!$B$144))))</f>
        <v>300</v>
      </c>
      <c r="L34" s="167">
        <f>IF(COLUMN()-1&lt;=4,'2_Inputs'!$B$140,IF(COLUMN()-1&lt;=16,'2_Inputs'!$B$141,IF(COLUMN()-1&lt;=28,'2_Inputs'!$B$142,IF(COLUMN()-1&lt;=40,'2_Inputs'!$B$143,'2_Inputs'!$B$144))))</f>
        <v>300</v>
      </c>
      <c r="M34" s="167">
        <f>IF(COLUMN()-1&lt;=4,'2_Inputs'!$B$140,IF(COLUMN()-1&lt;=16,'2_Inputs'!$B$141,IF(COLUMN()-1&lt;=28,'2_Inputs'!$B$142,IF(COLUMN()-1&lt;=40,'2_Inputs'!$B$143,'2_Inputs'!$B$144))))</f>
        <v>300</v>
      </c>
      <c r="N34" s="167">
        <f>IF(COLUMN()-1&lt;=4,'2_Inputs'!$B$140,IF(COLUMN()-1&lt;=16,'2_Inputs'!$B$141,IF(COLUMN()-1&lt;=28,'2_Inputs'!$B$142,IF(COLUMN()-1&lt;=40,'2_Inputs'!$B$143,'2_Inputs'!$B$144))))</f>
        <v>300</v>
      </c>
      <c r="O34" s="167">
        <f>IF(COLUMN()-1&lt;=4,'2_Inputs'!$B$140,IF(COLUMN()-1&lt;=16,'2_Inputs'!$B$141,IF(COLUMN()-1&lt;=28,'2_Inputs'!$B$142,IF(COLUMN()-1&lt;=40,'2_Inputs'!$B$143,'2_Inputs'!$B$144))))</f>
        <v>300</v>
      </c>
      <c r="P34" s="167">
        <f>IF(COLUMN()-1&lt;=4,'2_Inputs'!$B$140,IF(COLUMN()-1&lt;=16,'2_Inputs'!$B$141,IF(COLUMN()-1&lt;=28,'2_Inputs'!$B$142,IF(COLUMN()-1&lt;=40,'2_Inputs'!$B$143,'2_Inputs'!$B$144))))</f>
        <v>300</v>
      </c>
      <c r="Q34" s="167">
        <f>IF(COLUMN()-1&lt;=4,'2_Inputs'!$B$140,IF(COLUMN()-1&lt;=16,'2_Inputs'!$B$141,IF(COLUMN()-1&lt;=28,'2_Inputs'!$B$142,IF(COLUMN()-1&lt;=40,'2_Inputs'!$B$143,'2_Inputs'!$B$144))))</f>
        <v>300</v>
      </c>
      <c r="R34" s="167">
        <f>IF(COLUMN()-1&lt;=4,'2_Inputs'!$B$140,IF(COLUMN()-1&lt;=16,'2_Inputs'!$B$141,IF(COLUMN()-1&lt;=28,'2_Inputs'!$B$142,IF(COLUMN()-1&lt;=40,'2_Inputs'!$B$143,'2_Inputs'!$B$144))))</f>
        <v>300</v>
      </c>
      <c r="S34" s="167">
        <f>IF(COLUMN()-1&lt;=4,'2_Inputs'!$B$140,IF(COLUMN()-1&lt;=16,'2_Inputs'!$B$141,IF(COLUMN()-1&lt;=28,'2_Inputs'!$B$142,IF(COLUMN()-1&lt;=40,'2_Inputs'!$B$143,'2_Inputs'!$B$144))))</f>
        <v>300</v>
      </c>
      <c r="T34" s="167">
        <f>IF(COLUMN()-1&lt;=4,'2_Inputs'!$B$140,IF(COLUMN()-1&lt;=16,'2_Inputs'!$B$141,IF(COLUMN()-1&lt;=28,'2_Inputs'!$B$142,IF(COLUMN()-1&lt;=40,'2_Inputs'!$B$143,'2_Inputs'!$B$144))))</f>
        <v>300</v>
      </c>
      <c r="U34" s="167">
        <f>IF(COLUMN()-1&lt;=4,'2_Inputs'!$B$140,IF(COLUMN()-1&lt;=16,'2_Inputs'!$B$141,IF(COLUMN()-1&lt;=28,'2_Inputs'!$B$142,IF(COLUMN()-1&lt;=40,'2_Inputs'!$B$143,'2_Inputs'!$B$144))))</f>
        <v>300</v>
      </c>
      <c r="V34" s="167">
        <f>IF(COLUMN()-1&lt;=4,'2_Inputs'!$B$140,IF(COLUMN()-1&lt;=16,'2_Inputs'!$B$141,IF(COLUMN()-1&lt;=28,'2_Inputs'!$B$142,IF(COLUMN()-1&lt;=40,'2_Inputs'!$B$143,'2_Inputs'!$B$144))))</f>
        <v>300</v>
      </c>
      <c r="W34" s="167">
        <f>IF(COLUMN()-1&lt;=4,'2_Inputs'!$B$140,IF(COLUMN()-1&lt;=16,'2_Inputs'!$B$141,IF(COLUMN()-1&lt;=28,'2_Inputs'!$B$142,IF(COLUMN()-1&lt;=40,'2_Inputs'!$B$143,'2_Inputs'!$B$144))))</f>
        <v>300</v>
      </c>
      <c r="X34" s="167">
        <f>IF(COLUMN()-1&lt;=4,'2_Inputs'!$B$140,IF(COLUMN()-1&lt;=16,'2_Inputs'!$B$141,IF(COLUMN()-1&lt;=28,'2_Inputs'!$B$142,IF(COLUMN()-1&lt;=40,'2_Inputs'!$B$143,'2_Inputs'!$B$144))))</f>
        <v>300</v>
      </c>
      <c r="Y34" s="167">
        <f>IF(COLUMN()-1&lt;=4,'2_Inputs'!$B$140,IF(COLUMN()-1&lt;=16,'2_Inputs'!$B$141,IF(COLUMN()-1&lt;=28,'2_Inputs'!$B$142,IF(COLUMN()-1&lt;=40,'2_Inputs'!$B$143,'2_Inputs'!$B$144))))</f>
        <v>300</v>
      </c>
      <c r="Z34" s="167">
        <f>IF(COLUMN()-1&lt;=4,'2_Inputs'!$B$140,IF(COLUMN()-1&lt;=16,'2_Inputs'!$B$141,IF(COLUMN()-1&lt;=28,'2_Inputs'!$B$142,IF(COLUMN()-1&lt;=40,'2_Inputs'!$B$143,'2_Inputs'!$B$144))))</f>
        <v>300</v>
      </c>
      <c r="AA34" s="167">
        <f>IF(COLUMN()-1&lt;=4,'2_Inputs'!$B$140,IF(COLUMN()-1&lt;=16,'2_Inputs'!$B$141,IF(COLUMN()-1&lt;=28,'2_Inputs'!$B$142,IF(COLUMN()-1&lt;=40,'2_Inputs'!$B$143,'2_Inputs'!$B$144))))</f>
        <v>300</v>
      </c>
      <c r="AB34" s="167">
        <f>IF(COLUMN()-1&lt;=4,'2_Inputs'!$B$140,IF(COLUMN()-1&lt;=16,'2_Inputs'!$B$141,IF(COLUMN()-1&lt;=28,'2_Inputs'!$B$142,IF(COLUMN()-1&lt;=40,'2_Inputs'!$B$143,'2_Inputs'!$B$144))))</f>
        <v>300</v>
      </c>
      <c r="AC34" s="167">
        <f>IF(COLUMN()-1&lt;=4,'2_Inputs'!$B$140,IF(COLUMN()-1&lt;=16,'2_Inputs'!$B$141,IF(COLUMN()-1&lt;=28,'2_Inputs'!$B$142,IF(COLUMN()-1&lt;=40,'2_Inputs'!$B$143,'2_Inputs'!$B$144))))</f>
        <v>300</v>
      </c>
      <c r="AD34" s="167">
        <f>IF(COLUMN()-1&lt;=4,'2_Inputs'!$B$140,IF(COLUMN()-1&lt;=16,'2_Inputs'!$B$141,IF(COLUMN()-1&lt;=28,'2_Inputs'!$B$142,IF(COLUMN()-1&lt;=40,'2_Inputs'!$B$143,'2_Inputs'!$B$144))))</f>
        <v>300</v>
      </c>
      <c r="AE34" s="167">
        <f>IF(COLUMN()-1&lt;=4,'2_Inputs'!$B$140,IF(COLUMN()-1&lt;=16,'2_Inputs'!$B$141,IF(COLUMN()-1&lt;=28,'2_Inputs'!$B$142,IF(COLUMN()-1&lt;=40,'2_Inputs'!$B$143,'2_Inputs'!$B$144))))</f>
        <v>300</v>
      </c>
      <c r="AF34" s="167">
        <f>IF(COLUMN()-1&lt;=4,'2_Inputs'!$B$140,IF(COLUMN()-1&lt;=16,'2_Inputs'!$B$141,IF(COLUMN()-1&lt;=28,'2_Inputs'!$B$142,IF(COLUMN()-1&lt;=40,'2_Inputs'!$B$143,'2_Inputs'!$B$144))))</f>
        <v>300</v>
      </c>
      <c r="AG34" s="167">
        <f>IF(COLUMN()-1&lt;=4,'2_Inputs'!$B$140,IF(COLUMN()-1&lt;=16,'2_Inputs'!$B$141,IF(COLUMN()-1&lt;=28,'2_Inputs'!$B$142,IF(COLUMN()-1&lt;=40,'2_Inputs'!$B$143,'2_Inputs'!$B$144))))</f>
        <v>300</v>
      </c>
      <c r="AH34" s="167">
        <f>IF(COLUMN()-1&lt;=4,'2_Inputs'!$B$140,IF(COLUMN()-1&lt;=16,'2_Inputs'!$B$141,IF(COLUMN()-1&lt;=28,'2_Inputs'!$B$142,IF(COLUMN()-1&lt;=40,'2_Inputs'!$B$143,'2_Inputs'!$B$144))))</f>
        <v>300</v>
      </c>
      <c r="AI34" s="167">
        <f>IF(COLUMN()-1&lt;=4,'2_Inputs'!$B$140,IF(COLUMN()-1&lt;=16,'2_Inputs'!$B$141,IF(COLUMN()-1&lt;=28,'2_Inputs'!$B$142,IF(COLUMN()-1&lt;=40,'2_Inputs'!$B$143,'2_Inputs'!$B$144))))</f>
        <v>300</v>
      </c>
      <c r="AJ34" s="167">
        <f>IF(COLUMN()-1&lt;=4,'2_Inputs'!$B$140,IF(COLUMN()-1&lt;=16,'2_Inputs'!$B$141,IF(COLUMN()-1&lt;=28,'2_Inputs'!$B$142,IF(COLUMN()-1&lt;=40,'2_Inputs'!$B$143,'2_Inputs'!$B$144))))</f>
        <v>300</v>
      </c>
      <c r="AK34" s="167">
        <f>IF(COLUMN()-1&lt;=4,'2_Inputs'!$B$140,IF(COLUMN()-1&lt;=16,'2_Inputs'!$B$141,IF(COLUMN()-1&lt;=28,'2_Inputs'!$B$142,IF(COLUMN()-1&lt;=40,'2_Inputs'!$B$143,'2_Inputs'!$B$144))))</f>
        <v>300</v>
      </c>
      <c r="AL34" s="167">
        <f>IF(COLUMN()-1&lt;=4,'2_Inputs'!$B$140,IF(COLUMN()-1&lt;=16,'2_Inputs'!$B$141,IF(COLUMN()-1&lt;=28,'2_Inputs'!$B$142,IF(COLUMN()-1&lt;=40,'2_Inputs'!$B$143,'2_Inputs'!$B$144))))</f>
        <v>300</v>
      </c>
      <c r="AM34" s="167">
        <f>IF(COLUMN()-1&lt;=4,'2_Inputs'!$B$140,IF(COLUMN()-1&lt;=16,'2_Inputs'!$B$141,IF(COLUMN()-1&lt;=28,'2_Inputs'!$B$142,IF(COLUMN()-1&lt;=40,'2_Inputs'!$B$143,'2_Inputs'!$B$144))))</f>
        <v>300</v>
      </c>
      <c r="AN34" s="167">
        <f>IF(COLUMN()-1&lt;=4,'2_Inputs'!$B$140,IF(COLUMN()-1&lt;=16,'2_Inputs'!$B$141,IF(COLUMN()-1&lt;=28,'2_Inputs'!$B$142,IF(COLUMN()-1&lt;=40,'2_Inputs'!$B$143,'2_Inputs'!$B$144))))</f>
        <v>300</v>
      </c>
      <c r="AO34" s="167">
        <f>IF(COLUMN()-1&lt;=4,'2_Inputs'!$B$140,IF(COLUMN()-1&lt;=16,'2_Inputs'!$B$141,IF(COLUMN()-1&lt;=28,'2_Inputs'!$B$142,IF(COLUMN()-1&lt;=40,'2_Inputs'!$B$143,'2_Inputs'!$B$144))))</f>
        <v>300</v>
      </c>
      <c r="AP34" s="167">
        <f>IF(COLUMN()-1&lt;=4,'2_Inputs'!$B$140,IF(COLUMN()-1&lt;=16,'2_Inputs'!$B$141,IF(COLUMN()-1&lt;=28,'2_Inputs'!$B$142,IF(COLUMN()-1&lt;=40,'2_Inputs'!$B$143,'2_Inputs'!$B$144))))</f>
        <v>300</v>
      </c>
      <c r="AQ34" s="167">
        <f>IF(COLUMN()-1&lt;=4,'2_Inputs'!$B$140,IF(COLUMN()-1&lt;=16,'2_Inputs'!$B$141,IF(COLUMN()-1&lt;=28,'2_Inputs'!$B$142,IF(COLUMN()-1&lt;=40,'2_Inputs'!$B$143,'2_Inputs'!$B$144))))</f>
        <v>300</v>
      </c>
      <c r="AR34" s="167">
        <f>IF(COLUMN()-1&lt;=4,'2_Inputs'!$B$140,IF(COLUMN()-1&lt;=16,'2_Inputs'!$B$141,IF(COLUMN()-1&lt;=28,'2_Inputs'!$B$142,IF(COLUMN()-1&lt;=40,'2_Inputs'!$B$143,'2_Inputs'!$B$144))))</f>
        <v>300</v>
      </c>
      <c r="AS34" s="167">
        <f>IF(COLUMN()-1&lt;=4,'2_Inputs'!$B$140,IF(COLUMN()-1&lt;=16,'2_Inputs'!$B$141,IF(COLUMN()-1&lt;=28,'2_Inputs'!$B$142,IF(COLUMN()-1&lt;=40,'2_Inputs'!$B$143,'2_Inputs'!$B$144))))</f>
        <v>300</v>
      </c>
      <c r="AT34" s="167">
        <f>IF(COLUMN()-1&lt;=4,'2_Inputs'!$B$140,IF(COLUMN()-1&lt;=16,'2_Inputs'!$B$141,IF(COLUMN()-1&lt;=28,'2_Inputs'!$B$142,IF(COLUMN()-1&lt;=40,'2_Inputs'!$B$143,'2_Inputs'!$B$144))))</f>
        <v>300</v>
      </c>
      <c r="AU34" s="167">
        <f>IF(COLUMN()-1&lt;=4,'2_Inputs'!$B$140,IF(COLUMN()-1&lt;=16,'2_Inputs'!$B$141,IF(COLUMN()-1&lt;=28,'2_Inputs'!$B$142,IF(COLUMN()-1&lt;=40,'2_Inputs'!$B$143,'2_Inputs'!$B$144))))</f>
        <v>300</v>
      </c>
      <c r="AV34" s="167">
        <f>IF(COLUMN()-1&lt;=4,'2_Inputs'!$B$140,IF(COLUMN()-1&lt;=16,'2_Inputs'!$B$141,IF(COLUMN()-1&lt;=28,'2_Inputs'!$B$142,IF(COLUMN()-1&lt;=40,'2_Inputs'!$B$143,'2_Inputs'!$B$144))))</f>
        <v>300</v>
      </c>
      <c r="AW34" s="167">
        <f>IF(COLUMN()-1&lt;=4,'2_Inputs'!$B$140,IF(COLUMN()-1&lt;=16,'2_Inputs'!$B$141,IF(COLUMN()-1&lt;=28,'2_Inputs'!$B$142,IF(COLUMN()-1&lt;=40,'2_Inputs'!$B$143,'2_Inputs'!$B$144))))</f>
        <v>300</v>
      </c>
      <c r="AX34" s="167">
        <f>IF(COLUMN()-1&lt;=4,'2_Inputs'!$B$140,IF(COLUMN()-1&lt;=16,'2_Inputs'!$B$141,IF(COLUMN()-1&lt;=28,'2_Inputs'!$B$142,IF(COLUMN()-1&lt;=40,'2_Inputs'!$B$143,'2_Inputs'!$B$144))))</f>
        <v>300</v>
      </c>
      <c r="AY34" s="167">
        <f>IF(COLUMN()-1&lt;=4,'2_Inputs'!$B$140,IF(COLUMN()-1&lt;=16,'2_Inputs'!$B$141,IF(COLUMN()-1&lt;=28,'2_Inputs'!$B$142,IF(COLUMN()-1&lt;=40,'2_Inputs'!$B$143,'2_Inputs'!$B$144))))</f>
        <v>300</v>
      </c>
      <c r="AZ34" s="167">
        <f>IF(COLUMN()-1&lt;=4,'2_Inputs'!$B$140,IF(COLUMN()-1&lt;=16,'2_Inputs'!$B$141,IF(COLUMN()-1&lt;=28,'2_Inputs'!$B$142,IF(COLUMN()-1&lt;=40,'2_Inputs'!$B$143,'2_Inputs'!$B$144))))</f>
        <v>300</v>
      </c>
      <c r="BA34" s="167">
        <f>IF(COLUMN()-1&lt;=4,'2_Inputs'!$B$140,IF(COLUMN()-1&lt;=16,'2_Inputs'!$B$141,IF(COLUMN()-1&lt;=28,'2_Inputs'!$B$142,IF(COLUMN()-1&lt;=40,'2_Inputs'!$B$143,'2_Inputs'!$B$144))))</f>
        <v>300</v>
      </c>
    </row>
    <row r="35" ht="14.25" customHeight="1">
      <c r="A35" s="8" t="s">
        <v>675</v>
      </c>
      <c r="B35" s="167">
        <f t="shared" ref="B35:BA35" si="8">SUM(B32:B34)</f>
        <v>92</v>
      </c>
      <c r="C35" s="167">
        <f t="shared" si="8"/>
        <v>92</v>
      </c>
      <c r="D35" s="167">
        <f t="shared" si="8"/>
        <v>92</v>
      </c>
      <c r="E35" s="167">
        <f t="shared" si="8"/>
        <v>92</v>
      </c>
      <c r="F35" s="167">
        <f t="shared" si="8"/>
        <v>750</v>
      </c>
      <c r="G35" s="167">
        <f t="shared" si="8"/>
        <v>750</v>
      </c>
      <c r="H35" s="167">
        <f t="shared" si="8"/>
        <v>750</v>
      </c>
      <c r="I35" s="167">
        <f t="shared" si="8"/>
        <v>750</v>
      </c>
      <c r="J35" s="167">
        <f t="shared" si="8"/>
        <v>750</v>
      </c>
      <c r="K35" s="167">
        <f t="shared" si="8"/>
        <v>750</v>
      </c>
      <c r="L35" s="167">
        <f t="shared" si="8"/>
        <v>750</v>
      </c>
      <c r="M35" s="167">
        <f t="shared" si="8"/>
        <v>750</v>
      </c>
      <c r="N35" s="167">
        <f t="shared" si="8"/>
        <v>750</v>
      </c>
      <c r="O35" s="167">
        <f t="shared" si="8"/>
        <v>750</v>
      </c>
      <c r="P35" s="167">
        <f t="shared" si="8"/>
        <v>750</v>
      </c>
      <c r="Q35" s="167">
        <f t="shared" si="8"/>
        <v>750</v>
      </c>
      <c r="R35" s="167">
        <f t="shared" si="8"/>
        <v>1150</v>
      </c>
      <c r="S35" s="167">
        <f t="shared" si="8"/>
        <v>1150</v>
      </c>
      <c r="T35" s="167">
        <f t="shared" si="8"/>
        <v>1150</v>
      </c>
      <c r="U35" s="167">
        <f t="shared" si="8"/>
        <v>1150</v>
      </c>
      <c r="V35" s="167">
        <f t="shared" si="8"/>
        <v>1150</v>
      </c>
      <c r="W35" s="167">
        <f t="shared" si="8"/>
        <v>1150</v>
      </c>
      <c r="X35" s="167">
        <f t="shared" si="8"/>
        <v>1150</v>
      </c>
      <c r="Y35" s="167">
        <f t="shared" si="8"/>
        <v>1150</v>
      </c>
      <c r="Z35" s="167">
        <f t="shared" si="8"/>
        <v>1150</v>
      </c>
      <c r="AA35" s="167">
        <f t="shared" si="8"/>
        <v>1150</v>
      </c>
      <c r="AB35" s="167">
        <f t="shared" si="8"/>
        <v>1150</v>
      </c>
      <c r="AC35" s="167">
        <f t="shared" si="8"/>
        <v>1150</v>
      </c>
      <c r="AD35" s="167">
        <f t="shared" si="8"/>
        <v>1500</v>
      </c>
      <c r="AE35" s="167">
        <f t="shared" si="8"/>
        <v>1500</v>
      </c>
      <c r="AF35" s="167">
        <f t="shared" si="8"/>
        <v>1500</v>
      </c>
      <c r="AG35" s="167">
        <f t="shared" si="8"/>
        <v>1500</v>
      </c>
      <c r="AH35" s="167">
        <f t="shared" si="8"/>
        <v>1500</v>
      </c>
      <c r="AI35" s="167">
        <f t="shared" si="8"/>
        <v>1500</v>
      </c>
      <c r="AJ35" s="167">
        <f t="shared" si="8"/>
        <v>1500</v>
      </c>
      <c r="AK35" s="167">
        <f t="shared" si="8"/>
        <v>1500</v>
      </c>
      <c r="AL35" s="167">
        <f t="shared" si="8"/>
        <v>1500</v>
      </c>
      <c r="AM35" s="167">
        <f t="shared" si="8"/>
        <v>1500</v>
      </c>
      <c r="AN35" s="167">
        <f t="shared" si="8"/>
        <v>1500</v>
      </c>
      <c r="AO35" s="167">
        <f t="shared" si="8"/>
        <v>1500</v>
      </c>
      <c r="AP35" s="167">
        <f t="shared" si="8"/>
        <v>1850</v>
      </c>
      <c r="AQ35" s="167">
        <f t="shared" si="8"/>
        <v>1850</v>
      </c>
      <c r="AR35" s="167">
        <f t="shared" si="8"/>
        <v>1850</v>
      </c>
      <c r="AS35" s="167">
        <f t="shared" si="8"/>
        <v>1850</v>
      </c>
      <c r="AT35" s="167">
        <f t="shared" si="8"/>
        <v>1850</v>
      </c>
      <c r="AU35" s="167">
        <f t="shared" si="8"/>
        <v>1850</v>
      </c>
      <c r="AV35" s="167">
        <f t="shared" si="8"/>
        <v>1850</v>
      </c>
      <c r="AW35" s="167">
        <f t="shared" si="8"/>
        <v>1850</v>
      </c>
      <c r="AX35" s="167">
        <f t="shared" si="8"/>
        <v>1850</v>
      </c>
      <c r="AY35" s="167">
        <f t="shared" si="8"/>
        <v>1850</v>
      </c>
      <c r="AZ35" s="167">
        <f t="shared" si="8"/>
        <v>1850</v>
      </c>
      <c r="BA35" s="167">
        <f t="shared" si="8"/>
        <v>1850</v>
      </c>
    </row>
    <row r="36" ht="14.25" customHeight="1">
      <c r="A36" s="153" t="s">
        <v>676</v>
      </c>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row>
    <row r="37" ht="14.25" customHeight="1">
      <c r="A37" s="7" t="s">
        <v>677</v>
      </c>
      <c r="B37" s="167">
        <f>IF(COLUMN()-1&lt;=4,'2_Inputs'!$B$204+'2_Inputs'!$B$210,IF(COLUMN()-1&lt;=16,'2_Inputs'!$B$205+'2_Inputs'!$B$211,IF(COLUMN()-1&lt;=28,'2_Inputs'!$B$206+'2_Inputs'!$B$212,IF(COLUMN()-1&lt;=40,'2_Inputs'!$B$207+'2_Inputs'!$B$213,'2_Inputs'!$B$208+'2_Inputs'!$B$214))))</f>
        <v>500</v>
      </c>
      <c r="C37" s="167">
        <f>IF(COLUMN()-1&lt;=4,'2_Inputs'!$B$204+'2_Inputs'!$B$210,IF(COLUMN()-1&lt;=16,'2_Inputs'!$B$205+'2_Inputs'!$B$211,IF(COLUMN()-1&lt;=28,'2_Inputs'!$B$206+'2_Inputs'!$B$212,IF(COLUMN()-1&lt;=40,'2_Inputs'!$B$207+'2_Inputs'!$B$213,'2_Inputs'!$B$208+'2_Inputs'!$B$214))))</f>
        <v>500</v>
      </c>
      <c r="D37" s="167">
        <f>IF(COLUMN()-1&lt;=4,'2_Inputs'!$B$204+'2_Inputs'!$B$210,IF(COLUMN()-1&lt;=16,'2_Inputs'!$B$205+'2_Inputs'!$B$211,IF(COLUMN()-1&lt;=28,'2_Inputs'!$B$206+'2_Inputs'!$B$212,IF(COLUMN()-1&lt;=40,'2_Inputs'!$B$207+'2_Inputs'!$B$213,'2_Inputs'!$B$208+'2_Inputs'!$B$214))))</f>
        <v>500</v>
      </c>
      <c r="E37" s="167">
        <f>IF(COLUMN()-1&lt;=4,'2_Inputs'!$B$204+'2_Inputs'!$B$210,IF(COLUMN()-1&lt;=16,'2_Inputs'!$B$205+'2_Inputs'!$B$211,IF(COLUMN()-1&lt;=28,'2_Inputs'!$B$206+'2_Inputs'!$B$212,IF(COLUMN()-1&lt;=40,'2_Inputs'!$B$207+'2_Inputs'!$B$213,'2_Inputs'!$B$208+'2_Inputs'!$B$214))))</f>
        <v>500</v>
      </c>
      <c r="F37" s="167">
        <f>IF(COLUMN()-1&lt;=4,'2_Inputs'!$B$204+'2_Inputs'!$B$210,IF(COLUMN()-1&lt;=16,'2_Inputs'!$B$205+'2_Inputs'!$B$211,IF(COLUMN()-1&lt;=28,'2_Inputs'!$B$206+'2_Inputs'!$B$212,IF(COLUMN()-1&lt;=40,'2_Inputs'!$B$207+'2_Inputs'!$B$213,'2_Inputs'!$B$208+'2_Inputs'!$B$214))))</f>
        <v>2000</v>
      </c>
      <c r="G37" s="167">
        <f>IF(COLUMN()-1&lt;=4,'2_Inputs'!$B$204+'2_Inputs'!$B$210,IF(COLUMN()-1&lt;=16,'2_Inputs'!$B$205+'2_Inputs'!$B$211,IF(COLUMN()-1&lt;=28,'2_Inputs'!$B$206+'2_Inputs'!$B$212,IF(COLUMN()-1&lt;=40,'2_Inputs'!$B$207+'2_Inputs'!$B$213,'2_Inputs'!$B$208+'2_Inputs'!$B$214))))</f>
        <v>2000</v>
      </c>
      <c r="H37" s="167">
        <f>IF(COLUMN()-1&lt;=4,'2_Inputs'!$B$204+'2_Inputs'!$B$210,IF(COLUMN()-1&lt;=16,'2_Inputs'!$B$205+'2_Inputs'!$B$211,IF(COLUMN()-1&lt;=28,'2_Inputs'!$B$206+'2_Inputs'!$B$212,IF(COLUMN()-1&lt;=40,'2_Inputs'!$B$207+'2_Inputs'!$B$213,'2_Inputs'!$B$208+'2_Inputs'!$B$214))))</f>
        <v>2000</v>
      </c>
      <c r="I37" s="167">
        <f>IF(COLUMN()-1&lt;=4,'2_Inputs'!$B$204+'2_Inputs'!$B$210,IF(COLUMN()-1&lt;=16,'2_Inputs'!$B$205+'2_Inputs'!$B$211,IF(COLUMN()-1&lt;=28,'2_Inputs'!$B$206+'2_Inputs'!$B$212,IF(COLUMN()-1&lt;=40,'2_Inputs'!$B$207+'2_Inputs'!$B$213,'2_Inputs'!$B$208+'2_Inputs'!$B$214))))</f>
        <v>2000</v>
      </c>
      <c r="J37" s="167">
        <f>IF(COLUMN()-1&lt;=4,'2_Inputs'!$B$204+'2_Inputs'!$B$210,IF(COLUMN()-1&lt;=16,'2_Inputs'!$B$205+'2_Inputs'!$B$211,IF(COLUMN()-1&lt;=28,'2_Inputs'!$B$206+'2_Inputs'!$B$212,IF(COLUMN()-1&lt;=40,'2_Inputs'!$B$207+'2_Inputs'!$B$213,'2_Inputs'!$B$208+'2_Inputs'!$B$214))))</f>
        <v>2000</v>
      </c>
      <c r="K37" s="167">
        <f>IF(COLUMN()-1&lt;=4,'2_Inputs'!$B$204+'2_Inputs'!$B$210,IF(COLUMN()-1&lt;=16,'2_Inputs'!$B$205+'2_Inputs'!$B$211,IF(COLUMN()-1&lt;=28,'2_Inputs'!$B$206+'2_Inputs'!$B$212,IF(COLUMN()-1&lt;=40,'2_Inputs'!$B$207+'2_Inputs'!$B$213,'2_Inputs'!$B$208+'2_Inputs'!$B$214))))</f>
        <v>2000</v>
      </c>
      <c r="L37" s="167">
        <f>IF(COLUMN()-1&lt;=4,'2_Inputs'!$B$204+'2_Inputs'!$B$210,IF(COLUMN()-1&lt;=16,'2_Inputs'!$B$205+'2_Inputs'!$B$211,IF(COLUMN()-1&lt;=28,'2_Inputs'!$B$206+'2_Inputs'!$B$212,IF(COLUMN()-1&lt;=40,'2_Inputs'!$B$207+'2_Inputs'!$B$213,'2_Inputs'!$B$208+'2_Inputs'!$B$214))))</f>
        <v>2000</v>
      </c>
      <c r="M37" s="167">
        <f>IF(COLUMN()-1&lt;=4,'2_Inputs'!$B$204+'2_Inputs'!$B$210,IF(COLUMN()-1&lt;=16,'2_Inputs'!$B$205+'2_Inputs'!$B$211,IF(COLUMN()-1&lt;=28,'2_Inputs'!$B$206+'2_Inputs'!$B$212,IF(COLUMN()-1&lt;=40,'2_Inputs'!$B$207+'2_Inputs'!$B$213,'2_Inputs'!$B$208+'2_Inputs'!$B$214))))</f>
        <v>2000</v>
      </c>
      <c r="N37" s="167">
        <f>IF(COLUMN()-1&lt;=4,'2_Inputs'!$B$204+'2_Inputs'!$B$210,IF(COLUMN()-1&lt;=16,'2_Inputs'!$B$205+'2_Inputs'!$B$211,IF(COLUMN()-1&lt;=28,'2_Inputs'!$B$206+'2_Inputs'!$B$212,IF(COLUMN()-1&lt;=40,'2_Inputs'!$B$207+'2_Inputs'!$B$213,'2_Inputs'!$B$208+'2_Inputs'!$B$214))))</f>
        <v>2000</v>
      </c>
      <c r="O37" s="167">
        <f>IF(COLUMN()-1&lt;=4,'2_Inputs'!$B$204+'2_Inputs'!$B$210,IF(COLUMN()-1&lt;=16,'2_Inputs'!$B$205+'2_Inputs'!$B$211,IF(COLUMN()-1&lt;=28,'2_Inputs'!$B$206+'2_Inputs'!$B$212,IF(COLUMN()-1&lt;=40,'2_Inputs'!$B$207+'2_Inputs'!$B$213,'2_Inputs'!$B$208+'2_Inputs'!$B$214))))</f>
        <v>2000</v>
      </c>
      <c r="P37" s="167">
        <f>IF(COLUMN()-1&lt;=4,'2_Inputs'!$B$204+'2_Inputs'!$B$210,IF(COLUMN()-1&lt;=16,'2_Inputs'!$B$205+'2_Inputs'!$B$211,IF(COLUMN()-1&lt;=28,'2_Inputs'!$B$206+'2_Inputs'!$B$212,IF(COLUMN()-1&lt;=40,'2_Inputs'!$B$207+'2_Inputs'!$B$213,'2_Inputs'!$B$208+'2_Inputs'!$B$214))))</f>
        <v>2000</v>
      </c>
      <c r="Q37" s="167">
        <f>IF(COLUMN()-1&lt;=4,'2_Inputs'!$B$204+'2_Inputs'!$B$210,IF(COLUMN()-1&lt;=16,'2_Inputs'!$B$205+'2_Inputs'!$B$211,IF(COLUMN()-1&lt;=28,'2_Inputs'!$B$206+'2_Inputs'!$B$212,IF(COLUMN()-1&lt;=40,'2_Inputs'!$B$207+'2_Inputs'!$B$213,'2_Inputs'!$B$208+'2_Inputs'!$B$214))))</f>
        <v>2000</v>
      </c>
      <c r="R37" s="167">
        <f>IF(COLUMN()-1&lt;=4,'2_Inputs'!$B$204+'2_Inputs'!$B$210,IF(COLUMN()-1&lt;=16,'2_Inputs'!$B$205+'2_Inputs'!$B$211,IF(COLUMN()-1&lt;=28,'2_Inputs'!$B$206+'2_Inputs'!$B$212,IF(COLUMN()-1&lt;=40,'2_Inputs'!$B$207+'2_Inputs'!$B$213,'2_Inputs'!$B$208+'2_Inputs'!$B$214))))</f>
        <v>4500</v>
      </c>
      <c r="S37" s="167">
        <f>IF(COLUMN()-1&lt;=4,'2_Inputs'!$B$204+'2_Inputs'!$B$210,IF(COLUMN()-1&lt;=16,'2_Inputs'!$B$205+'2_Inputs'!$B$211,IF(COLUMN()-1&lt;=28,'2_Inputs'!$B$206+'2_Inputs'!$B$212,IF(COLUMN()-1&lt;=40,'2_Inputs'!$B$207+'2_Inputs'!$B$213,'2_Inputs'!$B$208+'2_Inputs'!$B$214))))</f>
        <v>4500</v>
      </c>
      <c r="T37" s="167">
        <f>IF(COLUMN()-1&lt;=4,'2_Inputs'!$B$204+'2_Inputs'!$B$210,IF(COLUMN()-1&lt;=16,'2_Inputs'!$B$205+'2_Inputs'!$B$211,IF(COLUMN()-1&lt;=28,'2_Inputs'!$B$206+'2_Inputs'!$B$212,IF(COLUMN()-1&lt;=40,'2_Inputs'!$B$207+'2_Inputs'!$B$213,'2_Inputs'!$B$208+'2_Inputs'!$B$214))))</f>
        <v>4500</v>
      </c>
      <c r="U37" s="167">
        <f>IF(COLUMN()-1&lt;=4,'2_Inputs'!$B$204+'2_Inputs'!$B$210,IF(COLUMN()-1&lt;=16,'2_Inputs'!$B$205+'2_Inputs'!$B$211,IF(COLUMN()-1&lt;=28,'2_Inputs'!$B$206+'2_Inputs'!$B$212,IF(COLUMN()-1&lt;=40,'2_Inputs'!$B$207+'2_Inputs'!$B$213,'2_Inputs'!$B$208+'2_Inputs'!$B$214))))</f>
        <v>4500</v>
      </c>
      <c r="V37" s="167">
        <f>IF(COLUMN()-1&lt;=4,'2_Inputs'!$B$204+'2_Inputs'!$B$210,IF(COLUMN()-1&lt;=16,'2_Inputs'!$B$205+'2_Inputs'!$B$211,IF(COLUMN()-1&lt;=28,'2_Inputs'!$B$206+'2_Inputs'!$B$212,IF(COLUMN()-1&lt;=40,'2_Inputs'!$B$207+'2_Inputs'!$B$213,'2_Inputs'!$B$208+'2_Inputs'!$B$214))))</f>
        <v>4500</v>
      </c>
      <c r="W37" s="167">
        <f>IF(COLUMN()-1&lt;=4,'2_Inputs'!$B$204+'2_Inputs'!$B$210,IF(COLUMN()-1&lt;=16,'2_Inputs'!$B$205+'2_Inputs'!$B$211,IF(COLUMN()-1&lt;=28,'2_Inputs'!$B$206+'2_Inputs'!$B$212,IF(COLUMN()-1&lt;=40,'2_Inputs'!$B$207+'2_Inputs'!$B$213,'2_Inputs'!$B$208+'2_Inputs'!$B$214))))</f>
        <v>4500</v>
      </c>
      <c r="X37" s="167">
        <f>IF(COLUMN()-1&lt;=4,'2_Inputs'!$B$204+'2_Inputs'!$B$210,IF(COLUMN()-1&lt;=16,'2_Inputs'!$B$205+'2_Inputs'!$B$211,IF(COLUMN()-1&lt;=28,'2_Inputs'!$B$206+'2_Inputs'!$B$212,IF(COLUMN()-1&lt;=40,'2_Inputs'!$B$207+'2_Inputs'!$B$213,'2_Inputs'!$B$208+'2_Inputs'!$B$214))))</f>
        <v>4500</v>
      </c>
      <c r="Y37" s="167">
        <f>IF(COLUMN()-1&lt;=4,'2_Inputs'!$B$204+'2_Inputs'!$B$210,IF(COLUMN()-1&lt;=16,'2_Inputs'!$B$205+'2_Inputs'!$B$211,IF(COLUMN()-1&lt;=28,'2_Inputs'!$B$206+'2_Inputs'!$B$212,IF(COLUMN()-1&lt;=40,'2_Inputs'!$B$207+'2_Inputs'!$B$213,'2_Inputs'!$B$208+'2_Inputs'!$B$214))))</f>
        <v>4500</v>
      </c>
      <c r="Z37" s="167">
        <f>IF(COLUMN()-1&lt;=4,'2_Inputs'!$B$204+'2_Inputs'!$B$210,IF(COLUMN()-1&lt;=16,'2_Inputs'!$B$205+'2_Inputs'!$B$211,IF(COLUMN()-1&lt;=28,'2_Inputs'!$B$206+'2_Inputs'!$B$212,IF(COLUMN()-1&lt;=40,'2_Inputs'!$B$207+'2_Inputs'!$B$213,'2_Inputs'!$B$208+'2_Inputs'!$B$214))))</f>
        <v>4500</v>
      </c>
      <c r="AA37" s="167">
        <f>IF(COLUMN()-1&lt;=4,'2_Inputs'!$B$204+'2_Inputs'!$B$210,IF(COLUMN()-1&lt;=16,'2_Inputs'!$B$205+'2_Inputs'!$B$211,IF(COLUMN()-1&lt;=28,'2_Inputs'!$B$206+'2_Inputs'!$B$212,IF(COLUMN()-1&lt;=40,'2_Inputs'!$B$207+'2_Inputs'!$B$213,'2_Inputs'!$B$208+'2_Inputs'!$B$214))))</f>
        <v>4500</v>
      </c>
      <c r="AB37" s="167">
        <f>IF(COLUMN()-1&lt;=4,'2_Inputs'!$B$204+'2_Inputs'!$B$210,IF(COLUMN()-1&lt;=16,'2_Inputs'!$B$205+'2_Inputs'!$B$211,IF(COLUMN()-1&lt;=28,'2_Inputs'!$B$206+'2_Inputs'!$B$212,IF(COLUMN()-1&lt;=40,'2_Inputs'!$B$207+'2_Inputs'!$B$213,'2_Inputs'!$B$208+'2_Inputs'!$B$214))))</f>
        <v>4500</v>
      </c>
      <c r="AC37" s="167">
        <f>IF(COLUMN()-1&lt;=4,'2_Inputs'!$B$204+'2_Inputs'!$B$210,IF(COLUMN()-1&lt;=16,'2_Inputs'!$B$205+'2_Inputs'!$B$211,IF(COLUMN()-1&lt;=28,'2_Inputs'!$B$206+'2_Inputs'!$B$212,IF(COLUMN()-1&lt;=40,'2_Inputs'!$B$207+'2_Inputs'!$B$213,'2_Inputs'!$B$208+'2_Inputs'!$B$214))))</f>
        <v>4500</v>
      </c>
      <c r="AD37" s="167">
        <f>IF(COLUMN()-1&lt;=4,'2_Inputs'!$B$204+'2_Inputs'!$B$210,IF(COLUMN()-1&lt;=16,'2_Inputs'!$B$205+'2_Inputs'!$B$211,IF(COLUMN()-1&lt;=28,'2_Inputs'!$B$206+'2_Inputs'!$B$212,IF(COLUMN()-1&lt;=40,'2_Inputs'!$B$207+'2_Inputs'!$B$213,'2_Inputs'!$B$208+'2_Inputs'!$B$214))))</f>
        <v>10000</v>
      </c>
      <c r="AE37" s="167">
        <f>IF(COLUMN()-1&lt;=4,'2_Inputs'!$B$204+'2_Inputs'!$B$210,IF(COLUMN()-1&lt;=16,'2_Inputs'!$B$205+'2_Inputs'!$B$211,IF(COLUMN()-1&lt;=28,'2_Inputs'!$B$206+'2_Inputs'!$B$212,IF(COLUMN()-1&lt;=40,'2_Inputs'!$B$207+'2_Inputs'!$B$213,'2_Inputs'!$B$208+'2_Inputs'!$B$214))))</f>
        <v>10000</v>
      </c>
      <c r="AF37" s="167">
        <f>IF(COLUMN()-1&lt;=4,'2_Inputs'!$B$204+'2_Inputs'!$B$210,IF(COLUMN()-1&lt;=16,'2_Inputs'!$B$205+'2_Inputs'!$B$211,IF(COLUMN()-1&lt;=28,'2_Inputs'!$B$206+'2_Inputs'!$B$212,IF(COLUMN()-1&lt;=40,'2_Inputs'!$B$207+'2_Inputs'!$B$213,'2_Inputs'!$B$208+'2_Inputs'!$B$214))))</f>
        <v>10000</v>
      </c>
      <c r="AG37" s="167">
        <f>IF(COLUMN()-1&lt;=4,'2_Inputs'!$B$204+'2_Inputs'!$B$210,IF(COLUMN()-1&lt;=16,'2_Inputs'!$B$205+'2_Inputs'!$B$211,IF(COLUMN()-1&lt;=28,'2_Inputs'!$B$206+'2_Inputs'!$B$212,IF(COLUMN()-1&lt;=40,'2_Inputs'!$B$207+'2_Inputs'!$B$213,'2_Inputs'!$B$208+'2_Inputs'!$B$214))))</f>
        <v>10000</v>
      </c>
      <c r="AH37" s="167">
        <f>IF(COLUMN()-1&lt;=4,'2_Inputs'!$B$204+'2_Inputs'!$B$210,IF(COLUMN()-1&lt;=16,'2_Inputs'!$B$205+'2_Inputs'!$B$211,IF(COLUMN()-1&lt;=28,'2_Inputs'!$B$206+'2_Inputs'!$B$212,IF(COLUMN()-1&lt;=40,'2_Inputs'!$B$207+'2_Inputs'!$B$213,'2_Inputs'!$B$208+'2_Inputs'!$B$214))))</f>
        <v>10000</v>
      </c>
      <c r="AI37" s="167">
        <f>IF(COLUMN()-1&lt;=4,'2_Inputs'!$B$204+'2_Inputs'!$B$210,IF(COLUMN()-1&lt;=16,'2_Inputs'!$B$205+'2_Inputs'!$B$211,IF(COLUMN()-1&lt;=28,'2_Inputs'!$B$206+'2_Inputs'!$B$212,IF(COLUMN()-1&lt;=40,'2_Inputs'!$B$207+'2_Inputs'!$B$213,'2_Inputs'!$B$208+'2_Inputs'!$B$214))))</f>
        <v>10000</v>
      </c>
      <c r="AJ37" s="167">
        <f>IF(COLUMN()-1&lt;=4,'2_Inputs'!$B$204+'2_Inputs'!$B$210,IF(COLUMN()-1&lt;=16,'2_Inputs'!$B$205+'2_Inputs'!$B$211,IF(COLUMN()-1&lt;=28,'2_Inputs'!$B$206+'2_Inputs'!$B$212,IF(COLUMN()-1&lt;=40,'2_Inputs'!$B$207+'2_Inputs'!$B$213,'2_Inputs'!$B$208+'2_Inputs'!$B$214))))</f>
        <v>10000</v>
      </c>
      <c r="AK37" s="167">
        <f>IF(COLUMN()-1&lt;=4,'2_Inputs'!$B$204+'2_Inputs'!$B$210,IF(COLUMN()-1&lt;=16,'2_Inputs'!$B$205+'2_Inputs'!$B$211,IF(COLUMN()-1&lt;=28,'2_Inputs'!$B$206+'2_Inputs'!$B$212,IF(COLUMN()-1&lt;=40,'2_Inputs'!$B$207+'2_Inputs'!$B$213,'2_Inputs'!$B$208+'2_Inputs'!$B$214))))</f>
        <v>10000</v>
      </c>
      <c r="AL37" s="167">
        <f>IF(COLUMN()-1&lt;=4,'2_Inputs'!$B$204+'2_Inputs'!$B$210,IF(COLUMN()-1&lt;=16,'2_Inputs'!$B$205+'2_Inputs'!$B$211,IF(COLUMN()-1&lt;=28,'2_Inputs'!$B$206+'2_Inputs'!$B$212,IF(COLUMN()-1&lt;=40,'2_Inputs'!$B$207+'2_Inputs'!$B$213,'2_Inputs'!$B$208+'2_Inputs'!$B$214))))</f>
        <v>10000</v>
      </c>
      <c r="AM37" s="167">
        <f>IF(COLUMN()-1&lt;=4,'2_Inputs'!$B$204+'2_Inputs'!$B$210,IF(COLUMN()-1&lt;=16,'2_Inputs'!$B$205+'2_Inputs'!$B$211,IF(COLUMN()-1&lt;=28,'2_Inputs'!$B$206+'2_Inputs'!$B$212,IF(COLUMN()-1&lt;=40,'2_Inputs'!$B$207+'2_Inputs'!$B$213,'2_Inputs'!$B$208+'2_Inputs'!$B$214))))</f>
        <v>10000</v>
      </c>
      <c r="AN37" s="167">
        <f>IF(COLUMN()-1&lt;=4,'2_Inputs'!$B$204+'2_Inputs'!$B$210,IF(COLUMN()-1&lt;=16,'2_Inputs'!$B$205+'2_Inputs'!$B$211,IF(COLUMN()-1&lt;=28,'2_Inputs'!$B$206+'2_Inputs'!$B$212,IF(COLUMN()-1&lt;=40,'2_Inputs'!$B$207+'2_Inputs'!$B$213,'2_Inputs'!$B$208+'2_Inputs'!$B$214))))</f>
        <v>10000</v>
      </c>
      <c r="AO37" s="167">
        <f>IF(COLUMN()-1&lt;=4,'2_Inputs'!$B$204+'2_Inputs'!$B$210,IF(COLUMN()-1&lt;=16,'2_Inputs'!$B$205+'2_Inputs'!$B$211,IF(COLUMN()-1&lt;=28,'2_Inputs'!$B$206+'2_Inputs'!$B$212,IF(COLUMN()-1&lt;=40,'2_Inputs'!$B$207+'2_Inputs'!$B$213,'2_Inputs'!$B$208+'2_Inputs'!$B$214))))</f>
        <v>10000</v>
      </c>
      <c r="AP37" s="167">
        <f>IF(COLUMN()-1&lt;=4,'2_Inputs'!$B$204+'2_Inputs'!$B$210,IF(COLUMN()-1&lt;=16,'2_Inputs'!$B$205+'2_Inputs'!$B$211,IF(COLUMN()-1&lt;=28,'2_Inputs'!$B$206+'2_Inputs'!$B$212,IF(COLUMN()-1&lt;=40,'2_Inputs'!$B$207+'2_Inputs'!$B$213,'2_Inputs'!$B$208+'2_Inputs'!$B$214))))</f>
        <v>15000</v>
      </c>
      <c r="AQ37" s="167">
        <f>IF(COLUMN()-1&lt;=4,'2_Inputs'!$B$204+'2_Inputs'!$B$210,IF(COLUMN()-1&lt;=16,'2_Inputs'!$B$205+'2_Inputs'!$B$211,IF(COLUMN()-1&lt;=28,'2_Inputs'!$B$206+'2_Inputs'!$B$212,IF(COLUMN()-1&lt;=40,'2_Inputs'!$B$207+'2_Inputs'!$B$213,'2_Inputs'!$B$208+'2_Inputs'!$B$214))))</f>
        <v>15000</v>
      </c>
      <c r="AR37" s="167">
        <f>IF(COLUMN()-1&lt;=4,'2_Inputs'!$B$204+'2_Inputs'!$B$210,IF(COLUMN()-1&lt;=16,'2_Inputs'!$B$205+'2_Inputs'!$B$211,IF(COLUMN()-1&lt;=28,'2_Inputs'!$B$206+'2_Inputs'!$B$212,IF(COLUMN()-1&lt;=40,'2_Inputs'!$B$207+'2_Inputs'!$B$213,'2_Inputs'!$B$208+'2_Inputs'!$B$214))))</f>
        <v>15000</v>
      </c>
      <c r="AS37" s="167">
        <f>IF(COLUMN()-1&lt;=4,'2_Inputs'!$B$204+'2_Inputs'!$B$210,IF(COLUMN()-1&lt;=16,'2_Inputs'!$B$205+'2_Inputs'!$B$211,IF(COLUMN()-1&lt;=28,'2_Inputs'!$B$206+'2_Inputs'!$B$212,IF(COLUMN()-1&lt;=40,'2_Inputs'!$B$207+'2_Inputs'!$B$213,'2_Inputs'!$B$208+'2_Inputs'!$B$214))))</f>
        <v>15000</v>
      </c>
      <c r="AT37" s="167">
        <f>IF(COLUMN()-1&lt;=4,'2_Inputs'!$B$204+'2_Inputs'!$B$210,IF(COLUMN()-1&lt;=16,'2_Inputs'!$B$205+'2_Inputs'!$B$211,IF(COLUMN()-1&lt;=28,'2_Inputs'!$B$206+'2_Inputs'!$B$212,IF(COLUMN()-1&lt;=40,'2_Inputs'!$B$207+'2_Inputs'!$B$213,'2_Inputs'!$B$208+'2_Inputs'!$B$214))))</f>
        <v>15000</v>
      </c>
      <c r="AU37" s="167">
        <f>IF(COLUMN()-1&lt;=4,'2_Inputs'!$B$204+'2_Inputs'!$B$210,IF(COLUMN()-1&lt;=16,'2_Inputs'!$B$205+'2_Inputs'!$B$211,IF(COLUMN()-1&lt;=28,'2_Inputs'!$B$206+'2_Inputs'!$B$212,IF(COLUMN()-1&lt;=40,'2_Inputs'!$B$207+'2_Inputs'!$B$213,'2_Inputs'!$B$208+'2_Inputs'!$B$214))))</f>
        <v>15000</v>
      </c>
      <c r="AV37" s="167">
        <f>IF(COLUMN()-1&lt;=4,'2_Inputs'!$B$204+'2_Inputs'!$B$210,IF(COLUMN()-1&lt;=16,'2_Inputs'!$B$205+'2_Inputs'!$B$211,IF(COLUMN()-1&lt;=28,'2_Inputs'!$B$206+'2_Inputs'!$B$212,IF(COLUMN()-1&lt;=40,'2_Inputs'!$B$207+'2_Inputs'!$B$213,'2_Inputs'!$B$208+'2_Inputs'!$B$214))))</f>
        <v>15000</v>
      </c>
      <c r="AW37" s="167">
        <f>IF(COLUMN()-1&lt;=4,'2_Inputs'!$B$204+'2_Inputs'!$B$210,IF(COLUMN()-1&lt;=16,'2_Inputs'!$B$205+'2_Inputs'!$B$211,IF(COLUMN()-1&lt;=28,'2_Inputs'!$B$206+'2_Inputs'!$B$212,IF(COLUMN()-1&lt;=40,'2_Inputs'!$B$207+'2_Inputs'!$B$213,'2_Inputs'!$B$208+'2_Inputs'!$B$214))))</f>
        <v>15000</v>
      </c>
      <c r="AX37" s="167">
        <f>IF(COLUMN()-1&lt;=4,'2_Inputs'!$B$204+'2_Inputs'!$B$210,IF(COLUMN()-1&lt;=16,'2_Inputs'!$B$205+'2_Inputs'!$B$211,IF(COLUMN()-1&lt;=28,'2_Inputs'!$B$206+'2_Inputs'!$B$212,IF(COLUMN()-1&lt;=40,'2_Inputs'!$B$207+'2_Inputs'!$B$213,'2_Inputs'!$B$208+'2_Inputs'!$B$214))))</f>
        <v>15000</v>
      </c>
      <c r="AY37" s="167">
        <f>IF(COLUMN()-1&lt;=4,'2_Inputs'!$B$204+'2_Inputs'!$B$210,IF(COLUMN()-1&lt;=16,'2_Inputs'!$B$205+'2_Inputs'!$B$211,IF(COLUMN()-1&lt;=28,'2_Inputs'!$B$206+'2_Inputs'!$B$212,IF(COLUMN()-1&lt;=40,'2_Inputs'!$B$207+'2_Inputs'!$B$213,'2_Inputs'!$B$208+'2_Inputs'!$B$214))))</f>
        <v>15000</v>
      </c>
      <c r="AZ37" s="167">
        <f>IF(COLUMN()-1&lt;=4,'2_Inputs'!$B$204+'2_Inputs'!$B$210,IF(COLUMN()-1&lt;=16,'2_Inputs'!$B$205+'2_Inputs'!$B$211,IF(COLUMN()-1&lt;=28,'2_Inputs'!$B$206+'2_Inputs'!$B$212,IF(COLUMN()-1&lt;=40,'2_Inputs'!$B$207+'2_Inputs'!$B$213,'2_Inputs'!$B$208+'2_Inputs'!$B$214))))</f>
        <v>15000</v>
      </c>
      <c r="BA37" s="167">
        <f>IF(COLUMN()-1&lt;=4,'2_Inputs'!$B$204+'2_Inputs'!$B$210,IF(COLUMN()-1&lt;=16,'2_Inputs'!$B$205+'2_Inputs'!$B$211,IF(COLUMN()-1&lt;=28,'2_Inputs'!$B$206+'2_Inputs'!$B$212,IF(COLUMN()-1&lt;=40,'2_Inputs'!$B$207+'2_Inputs'!$B$213,'2_Inputs'!$B$208+'2_Inputs'!$B$214))))</f>
        <v>15000</v>
      </c>
    </row>
    <row r="38" ht="14.25" customHeight="1">
      <c r="A38" s="7" t="s">
        <v>678</v>
      </c>
      <c r="B38" s="167">
        <f>IF(COLUMN()-1&gt;='2_Inputs'!$B$16,25000/12,IF(COLUMN()-1&gt;='2_Inputs'!$B$14,15000/12,IF(COLUMN()-1&gt;='2_Inputs'!$B$12,10000/12,3000/12)))</f>
        <v>833.3333333</v>
      </c>
      <c r="C38" s="167">
        <f>IF(COLUMN()-1&gt;='2_Inputs'!$B$16,25000/12,IF(COLUMN()-1&gt;='2_Inputs'!$B$14,15000/12,IF(COLUMN()-1&gt;='2_Inputs'!$B$12,10000/12,3000/12)))</f>
        <v>833.3333333</v>
      </c>
      <c r="D38" s="167">
        <f>IF(COLUMN()-1&gt;='2_Inputs'!$B$16,25000/12,IF(COLUMN()-1&gt;='2_Inputs'!$B$14,15000/12,IF(COLUMN()-1&gt;='2_Inputs'!$B$12,10000/12,3000/12)))</f>
        <v>833.3333333</v>
      </c>
      <c r="E38" s="167">
        <f>IF(COLUMN()-1&gt;='2_Inputs'!$B$16,25000/12,IF(COLUMN()-1&gt;='2_Inputs'!$B$14,15000/12,IF(COLUMN()-1&gt;='2_Inputs'!$B$12,10000/12,3000/12)))</f>
        <v>833.3333333</v>
      </c>
      <c r="F38" s="167">
        <f>IF(COLUMN()-1&gt;='2_Inputs'!$B$16,25000/12,IF(COLUMN()-1&gt;='2_Inputs'!$B$14,15000/12,IF(COLUMN()-1&gt;='2_Inputs'!$B$12,10000/12,3000/12)))</f>
        <v>833.3333333</v>
      </c>
      <c r="G38" s="167">
        <f>IF(COLUMN()-1&gt;='2_Inputs'!$B$16,25000/12,IF(COLUMN()-1&gt;='2_Inputs'!$B$14,15000/12,IF(COLUMN()-1&gt;='2_Inputs'!$B$12,10000/12,3000/12)))</f>
        <v>833.3333333</v>
      </c>
      <c r="H38" s="167">
        <f>IF(COLUMN()-1&gt;='2_Inputs'!$B$16,25000/12,IF(COLUMN()-1&gt;='2_Inputs'!$B$14,15000/12,IF(COLUMN()-1&gt;='2_Inputs'!$B$12,10000/12,3000/12)))</f>
        <v>833.3333333</v>
      </c>
      <c r="I38" s="167">
        <f>IF(COLUMN()-1&gt;='2_Inputs'!$B$16,25000/12,IF(COLUMN()-1&gt;='2_Inputs'!$B$14,15000/12,IF(COLUMN()-1&gt;='2_Inputs'!$B$12,10000/12,3000/12)))</f>
        <v>833.3333333</v>
      </c>
      <c r="J38" s="167">
        <f>IF(COLUMN()-1&gt;='2_Inputs'!$B$16,25000/12,IF(COLUMN()-1&gt;='2_Inputs'!$B$14,15000/12,IF(COLUMN()-1&gt;='2_Inputs'!$B$12,10000/12,3000/12)))</f>
        <v>833.3333333</v>
      </c>
      <c r="K38" s="167">
        <f>IF(COLUMN()-1&gt;='2_Inputs'!$B$16,25000/12,IF(COLUMN()-1&gt;='2_Inputs'!$B$14,15000/12,IF(COLUMN()-1&gt;='2_Inputs'!$B$12,10000/12,3000/12)))</f>
        <v>833.3333333</v>
      </c>
      <c r="L38" s="167">
        <f>IF(COLUMN()-1&gt;='2_Inputs'!$B$16,25000/12,IF(COLUMN()-1&gt;='2_Inputs'!$B$14,15000/12,IF(COLUMN()-1&gt;='2_Inputs'!$B$12,10000/12,3000/12)))</f>
        <v>833.3333333</v>
      </c>
      <c r="M38" s="167">
        <f>IF(COLUMN()-1&gt;='2_Inputs'!$B$16,25000/12,IF(COLUMN()-1&gt;='2_Inputs'!$B$14,15000/12,IF(COLUMN()-1&gt;='2_Inputs'!$B$12,10000/12,3000/12)))</f>
        <v>833.3333333</v>
      </c>
      <c r="N38" s="167">
        <f>IF(COLUMN()-1&gt;='2_Inputs'!$B$16,25000/12,IF(COLUMN()-1&gt;='2_Inputs'!$B$14,15000/12,IF(COLUMN()-1&gt;='2_Inputs'!$B$12,10000/12,3000/12)))</f>
        <v>833.3333333</v>
      </c>
      <c r="O38" s="167">
        <f>IF(COLUMN()-1&gt;='2_Inputs'!$B$16,25000/12,IF(COLUMN()-1&gt;='2_Inputs'!$B$14,15000/12,IF(COLUMN()-1&gt;='2_Inputs'!$B$12,10000/12,3000/12)))</f>
        <v>833.3333333</v>
      </c>
      <c r="P38" s="167">
        <f>IF(COLUMN()-1&gt;='2_Inputs'!$B$16,25000/12,IF(COLUMN()-1&gt;='2_Inputs'!$B$14,15000/12,IF(COLUMN()-1&gt;='2_Inputs'!$B$12,10000/12,3000/12)))</f>
        <v>833.3333333</v>
      </c>
      <c r="Q38" s="167">
        <f>IF(COLUMN()-1&gt;='2_Inputs'!$B$16,25000/12,IF(COLUMN()-1&gt;='2_Inputs'!$B$14,15000/12,IF(COLUMN()-1&gt;='2_Inputs'!$B$12,10000/12,3000/12)))</f>
        <v>833.3333333</v>
      </c>
      <c r="R38" s="167">
        <f>IF(COLUMN()-1&gt;='2_Inputs'!$B$16,25000/12,IF(COLUMN()-1&gt;='2_Inputs'!$B$14,15000/12,IF(COLUMN()-1&gt;='2_Inputs'!$B$12,10000/12,3000/12)))</f>
        <v>1250</v>
      </c>
      <c r="S38" s="167">
        <f>IF(COLUMN()-1&gt;='2_Inputs'!$B$16,25000/12,IF(COLUMN()-1&gt;='2_Inputs'!$B$14,15000/12,IF(COLUMN()-1&gt;='2_Inputs'!$B$12,10000/12,3000/12)))</f>
        <v>1250</v>
      </c>
      <c r="T38" s="167">
        <f>IF(COLUMN()-1&gt;='2_Inputs'!$B$16,25000/12,IF(COLUMN()-1&gt;='2_Inputs'!$B$14,15000/12,IF(COLUMN()-1&gt;='2_Inputs'!$B$12,10000/12,3000/12)))</f>
        <v>1250</v>
      </c>
      <c r="U38" s="167">
        <f>IF(COLUMN()-1&gt;='2_Inputs'!$B$16,25000/12,IF(COLUMN()-1&gt;='2_Inputs'!$B$14,15000/12,IF(COLUMN()-1&gt;='2_Inputs'!$B$12,10000/12,3000/12)))</f>
        <v>1250</v>
      </c>
      <c r="V38" s="167">
        <f>IF(COLUMN()-1&gt;='2_Inputs'!$B$16,25000/12,IF(COLUMN()-1&gt;='2_Inputs'!$B$14,15000/12,IF(COLUMN()-1&gt;='2_Inputs'!$B$12,10000/12,3000/12)))</f>
        <v>1250</v>
      </c>
      <c r="W38" s="167">
        <f>IF(COLUMN()-1&gt;='2_Inputs'!$B$16,25000/12,IF(COLUMN()-1&gt;='2_Inputs'!$B$14,15000/12,IF(COLUMN()-1&gt;='2_Inputs'!$B$12,10000/12,3000/12)))</f>
        <v>1250</v>
      </c>
      <c r="X38" s="167">
        <f>IF(COLUMN()-1&gt;='2_Inputs'!$B$16,25000/12,IF(COLUMN()-1&gt;='2_Inputs'!$B$14,15000/12,IF(COLUMN()-1&gt;='2_Inputs'!$B$12,10000/12,3000/12)))</f>
        <v>1250</v>
      </c>
      <c r="Y38" s="167">
        <f>IF(COLUMN()-1&gt;='2_Inputs'!$B$16,25000/12,IF(COLUMN()-1&gt;='2_Inputs'!$B$14,15000/12,IF(COLUMN()-1&gt;='2_Inputs'!$B$12,10000/12,3000/12)))</f>
        <v>1250</v>
      </c>
      <c r="Z38" s="167">
        <f>IF(COLUMN()-1&gt;='2_Inputs'!$B$16,25000/12,IF(COLUMN()-1&gt;='2_Inputs'!$B$14,15000/12,IF(COLUMN()-1&gt;='2_Inputs'!$B$12,10000/12,3000/12)))</f>
        <v>1250</v>
      </c>
      <c r="AA38" s="167">
        <f>IF(COLUMN()-1&gt;='2_Inputs'!$B$16,25000/12,IF(COLUMN()-1&gt;='2_Inputs'!$B$14,15000/12,IF(COLUMN()-1&gt;='2_Inputs'!$B$12,10000/12,3000/12)))</f>
        <v>1250</v>
      </c>
      <c r="AB38" s="167">
        <f>IF(COLUMN()-1&gt;='2_Inputs'!$B$16,25000/12,IF(COLUMN()-1&gt;='2_Inputs'!$B$14,15000/12,IF(COLUMN()-1&gt;='2_Inputs'!$B$12,10000/12,3000/12)))</f>
        <v>1250</v>
      </c>
      <c r="AC38" s="167">
        <f>IF(COLUMN()-1&gt;='2_Inputs'!$B$16,25000/12,IF(COLUMN()-1&gt;='2_Inputs'!$B$14,15000/12,IF(COLUMN()-1&gt;='2_Inputs'!$B$12,10000/12,3000/12)))</f>
        <v>1250</v>
      </c>
      <c r="AD38" s="167">
        <f>IF(COLUMN()-1&gt;='2_Inputs'!$B$16,25000/12,IF(COLUMN()-1&gt;='2_Inputs'!$B$14,15000/12,IF(COLUMN()-1&gt;='2_Inputs'!$B$12,10000/12,3000/12)))</f>
        <v>2083.333333</v>
      </c>
      <c r="AE38" s="167">
        <f>IF(COLUMN()-1&gt;='2_Inputs'!$B$16,25000/12,IF(COLUMN()-1&gt;='2_Inputs'!$B$14,15000/12,IF(COLUMN()-1&gt;='2_Inputs'!$B$12,10000/12,3000/12)))</f>
        <v>2083.333333</v>
      </c>
      <c r="AF38" s="167">
        <f>IF(COLUMN()-1&gt;='2_Inputs'!$B$16,25000/12,IF(COLUMN()-1&gt;='2_Inputs'!$B$14,15000/12,IF(COLUMN()-1&gt;='2_Inputs'!$B$12,10000/12,3000/12)))</f>
        <v>2083.333333</v>
      </c>
      <c r="AG38" s="167">
        <f>IF(COLUMN()-1&gt;='2_Inputs'!$B$16,25000/12,IF(COLUMN()-1&gt;='2_Inputs'!$B$14,15000/12,IF(COLUMN()-1&gt;='2_Inputs'!$B$12,10000/12,3000/12)))</f>
        <v>2083.333333</v>
      </c>
      <c r="AH38" s="167">
        <f>IF(COLUMN()-1&gt;='2_Inputs'!$B$16,25000/12,IF(COLUMN()-1&gt;='2_Inputs'!$B$14,15000/12,IF(COLUMN()-1&gt;='2_Inputs'!$B$12,10000/12,3000/12)))</f>
        <v>2083.333333</v>
      </c>
      <c r="AI38" s="167">
        <f>IF(COLUMN()-1&gt;='2_Inputs'!$B$16,25000/12,IF(COLUMN()-1&gt;='2_Inputs'!$B$14,15000/12,IF(COLUMN()-1&gt;='2_Inputs'!$B$12,10000/12,3000/12)))</f>
        <v>2083.333333</v>
      </c>
      <c r="AJ38" s="167">
        <f>IF(COLUMN()-1&gt;='2_Inputs'!$B$16,25000/12,IF(COLUMN()-1&gt;='2_Inputs'!$B$14,15000/12,IF(COLUMN()-1&gt;='2_Inputs'!$B$12,10000/12,3000/12)))</f>
        <v>2083.333333</v>
      </c>
      <c r="AK38" s="167">
        <f>IF(COLUMN()-1&gt;='2_Inputs'!$B$16,25000/12,IF(COLUMN()-1&gt;='2_Inputs'!$B$14,15000/12,IF(COLUMN()-1&gt;='2_Inputs'!$B$12,10000/12,3000/12)))</f>
        <v>2083.333333</v>
      </c>
      <c r="AL38" s="167">
        <f>IF(COLUMN()-1&gt;='2_Inputs'!$B$16,25000/12,IF(COLUMN()-1&gt;='2_Inputs'!$B$14,15000/12,IF(COLUMN()-1&gt;='2_Inputs'!$B$12,10000/12,3000/12)))</f>
        <v>2083.333333</v>
      </c>
      <c r="AM38" s="167">
        <f>IF(COLUMN()-1&gt;='2_Inputs'!$B$16,25000/12,IF(COLUMN()-1&gt;='2_Inputs'!$B$14,15000/12,IF(COLUMN()-1&gt;='2_Inputs'!$B$12,10000/12,3000/12)))</f>
        <v>2083.333333</v>
      </c>
      <c r="AN38" s="167">
        <f>IF(COLUMN()-1&gt;='2_Inputs'!$B$16,25000/12,IF(COLUMN()-1&gt;='2_Inputs'!$B$14,15000/12,IF(COLUMN()-1&gt;='2_Inputs'!$B$12,10000/12,3000/12)))</f>
        <v>2083.333333</v>
      </c>
      <c r="AO38" s="167">
        <f>IF(COLUMN()-1&gt;='2_Inputs'!$B$16,25000/12,IF(COLUMN()-1&gt;='2_Inputs'!$B$14,15000/12,IF(COLUMN()-1&gt;='2_Inputs'!$B$12,10000/12,3000/12)))</f>
        <v>2083.333333</v>
      </c>
      <c r="AP38" s="167">
        <f>IF(COLUMN()-1&gt;='2_Inputs'!$B$16,25000/12,IF(COLUMN()-1&gt;='2_Inputs'!$B$14,15000/12,IF(COLUMN()-1&gt;='2_Inputs'!$B$12,10000/12,3000/12)))</f>
        <v>2083.333333</v>
      </c>
      <c r="AQ38" s="167">
        <f>IF(COLUMN()-1&gt;='2_Inputs'!$B$16,25000/12,IF(COLUMN()-1&gt;='2_Inputs'!$B$14,15000/12,IF(COLUMN()-1&gt;='2_Inputs'!$B$12,10000/12,3000/12)))</f>
        <v>2083.333333</v>
      </c>
      <c r="AR38" s="167">
        <f>IF(COLUMN()-1&gt;='2_Inputs'!$B$16,25000/12,IF(COLUMN()-1&gt;='2_Inputs'!$B$14,15000/12,IF(COLUMN()-1&gt;='2_Inputs'!$B$12,10000/12,3000/12)))</f>
        <v>2083.333333</v>
      </c>
      <c r="AS38" s="167">
        <f>IF(COLUMN()-1&gt;='2_Inputs'!$B$16,25000/12,IF(COLUMN()-1&gt;='2_Inputs'!$B$14,15000/12,IF(COLUMN()-1&gt;='2_Inputs'!$B$12,10000/12,3000/12)))</f>
        <v>2083.333333</v>
      </c>
      <c r="AT38" s="167">
        <f>IF(COLUMN()-1&gt;='2_Inputs'!$B$16,25000/12,IF(COLUMN()-1&gt;='2_Inputs'!$B$14,15000/12,IF(COLUMN()-1&gt;='2_Inputs'!$B$12,10000/12,3000/12)))</f>
        <v>2083.333333</v>
      </c>
      <c r="AU38" s="167">
        <f>IF(COLUMN()-1&gt;='2_Inputs'!$B$16,25000/12,IF(COLUMN()-1&gt;='2_Inputs'!$B$14,15000/12,IF(COLUMN()-1&gt;='2_Inputs'!$B$12,10000/12,3000/12)))</f>
        <v>2083.333333</v>
      </c>
      <c r="AV38" s="167">
        <f>IF(COLUMN()-1&gt;='2_Inputs'!$B$16,25000/12,IF(COLUMN()-1&gt;='2_Inputs'!$B$14,15000/12,IF(COLUMN()-1&gt;='2_Inputs'!$B$12,10000/12,3000/12)))</f>
        <v>2083.333333</v>
      </c>
      <c r="AW38" s="167">
        <f>IF(COLUMN()-1&gt;='2_Inputs'!$B$16,25000/12,IF(COLUMN()-1&gt;='2_Inputs'!$B$14,15000/12,IF(COLUMN()-1&gt;='2_Inputs'!$B$12,10000/12,3000/12)))</f>
        <v>2083.333333</v>
      </c>
      <c r="AX38" s="167">
        <f>IF(COLUMN()-1&gt;='2_Inputs'!$B$16,25000/12,IF(COLUMN()-1&gt;='2_Inputs'!$B$14,15000/12,IF(COLUMN()-1&gt;='2_Inputs'!$B$12,10000/12,3000/12)))</f>
        <v>2083.333333</v>
      </c>
      <c r="AY38" s="167">
        <f>IF(COLUMN()-1&gt;='2_Inputs'!$B$16,25000/12,IF(COLUMN()-1&gt;='2_Inputs'!$B$14,15000/12,IF(COLUMN()-1&gt;='2_Inputs'!$B$12,10000/12,3000/12)))</f>
        <v>2083.333333</v>
      </c>
      <c r="AZ38" s="167">
        <f>IF(COLUMN()-1&gt;='2_Inputs'!$B$16,25000/12,IF(COLUMN()-1&gt;='2_Inputs'!$B$14,15000/12,IF(COLUMN()-1&gt;='2_Inputs'!$B$12,10000/12,3000/12)))</f>
        <v>2083.333333</v>
      </c>
      <c r="BA38" s="167">
        <f>IF(COLUMN()-1&gt;='2_Inputs'!$B$16,25000/12,IF(COLUMN()-1&gt;='2_Inputs'!$B$14,15000/12,IF(COLUMN()-1&gt;='2_Inputs'!$B$12,10000/12,3000/12)))</f>
        <v>2083.333333</v>
      </c>
    </row>
    <row r="39" ht="14.25" customHeight="1">
      <c r="A39" s="7" t="s">
        <v>679</v>
      </c>
      <c r="B39" s="167">
        <f>300+'4_Revenue'!B26/12*0.02</f>
        <v>300</v>
      </c>
      <c r="C39" s="167">
        <f>300+'4_Revenue'!C26/12*0.02</f>
        <v>300</v>
      </c>
      <c r="D39" s="167">
        <f>300+'4_Revenue'!D26/12*0.02</f>
        <v>300</v>
      </c>
      <c r="E39" s="167">
        <f>300+'4_Revenue'!E26/12*0.02</f>
        <v>300</v>
      </c>
      <c r="F39" s="167">
        <f>300+'4_Revenue'!F26/12*0.02</f>
        <v>300</v>
      </c>
      <c r="G39" s="167">
        <f>300+'4_Revenue'!G26/12*0.02</f>
        <v>300</v>
      </c>
      <c r="H39" s="167">
        <f>300+'4_Revenue'!H26/12*0.02</f>
        <v>355.2</v>
      </c>
      <c r="I39" s="167">
        <f>300+'4_Revenue'!I26/12*0.02</f>
        <v>355.2</v>
      </c>
      <c r="J39" s="167">
        <f>300+'4_Revenue'!J26/12*0.02</f>
        <v>355.2</v>
      </c>
      <c r="K39" s="167">
        <f>300+'4_Revenue'!K26/12*0.02</f>
        <v>355.2</v>
      </c>
      <c r="L39" s="167">
        <f>300+'4_Revenue'!L26/12*0.02</f>
        <v>410.4</v>
      </c>
      <c r="M39" s="167">
        <f>300+'4_Revenue'!M26/12*0.02</f>
        <v>410.4</v>
      </c>
      <c r="N39" s="167">
        <f>300+'4_Revenue'!N26/12*0.02</f>
        <v>472.224</v>
      </c>
      <c r="O39" s="167">
        <f>300+'4_Revenue'!O26/12*0.02</f>
        <v>472.224</v>
      </c>
      <c r="P39" s="167">
        <f>300+'4_Revenue'!P26/12*0.02</f>
        <v>472.224</v>
      </c>
      <c r="Q39" s="167">
        <f>300+'4_Revenue'!Q26/12*0.02</f>
        <v>472.224</v>
      </c>
      <c r="R39" s="167">
        <f>300+'4_Revenue'!R26/12*0.02</f>
        <v>472.224</v>
      </c>
      <c r="S39" s="167">
        <f>300+'4_Revenue'!S26/12*0.02</f>
        <v>736.8</v>
      </c>
      <c r="T39" s="167">
        <f>300+'4_Revenue'!T26/12*0.02</f>
        <v>1116.192</v>
      </c>
      <c r="U39" s="167">
        <f>300+'4_Revenue'!U26/12*0.02</f>
        <v>1231.008</v>
      </c>
      <c r="V39" s="167">
        <f>300+'4_Revenue'!V26/12*0.02</f>
        <v>1495.584</v>
      </c>
      <c r="W39" s="167">
        <f>300+'4_Revenue'!W26/12*0.02</f>
        <v>1495.584</v>
      </c>
      <c r="X39" s="167">
        <f>300+'4_Revenue'!X26/12*0.02</f>
        <v>2196.96</v>
      </c>
      <c r="Y39" s="167">
        <f>300+'4_Revenue'!Y26/12*0.02</f>
        <v>2272.602667</v>
      </c>
      <c r="Z39" s="167">
        <f>300+'4_Revenue'!Z26/12*0.02</f>
        <v>2901.824853</v>
      </c>
      <c r="AA39" s="167">
        <f>300+'4_Revenue'!AA26/12*0.02</f>
        <v>3207.052373</v>
      </c>
      <c r="AB39" s="167">
        <f>300+'4_Revenue'!AB26/12*0.02</f>
        <v>3285.720747</v>
      </c>
      <c r="AC39" s="167">
        <f>300+'4_Revenue'!AC26/12*0.02</f>
        <v>3274.255787</v>
      </c>
      <c r="AD39" s="167">
        <f>300+'4_Revenue'!AD26/12*0.02</f>
        <v>3262.790827</v>
      </c>
      <c r="AE39" s="167">
        <f>300+'4_Revenue'!AE26/12*0.02</f>
        <v>3891.77728</v>
      </c>
      <c r="AF39" s="167">
        <f>300+'4_Revenue'!AF26/12*0.02</f>
        <v>4178.83392</v>
      </c>
      <c r="AG39" s="167">
        <f>300+'4_Revenue'!AG26/12*0.02</f>
        <v>4717.68704</v>
      </c>
      <c r="AH39" s="167">
        <f>300+'4_Revenue'!AH26/12*0.02</f>
        <v>5723.070293</v>
      </c>
      <c r="AI39" s="167">
        <f>300+'4_Revenue'!AI26/12*0.02</f>
        <v>5701.654613</v>
      </c>
      <c r="AJ39" s="167">
        <f>300+'4_Revenue'!AJ26/12*0.02</f>
        <v>6230.557013</v>
      </c>
      <c r="AK39" s="167">
        <f>300+'4_Revenue'!AK26/12*0.02</f>
        <v>6407.218347</v>
      </c>
      <c r="AL39" s="167">
        <f>300+'4_Revenue'!AL26/12*0.02</f>
        <v>6803.588693</v>
      </c>
      <c r="AM39" s="167">
        <f>300+'4_Revenue'!AM26/12*0.02</f>
        <v>7814.166511</v>
      </c>
      <c r="AN39" s="167">
        <f>300+'4_Revenue'!AN26/12*0.02</f>
        <v>8352.301449</v>
      </c>
      <c r="AO39" s="167">
        <f>300+'4_Revenue'!AO26/12*0.02</f>
        <v>8933.631164</v>
      </c>
      <c r="AP39" s="167">
        <f>300+'4_Revenue'!AP26/12*0.02</f>
        <v>9720.136073</v>
      </c>
      <c r="AQ39" s="167">
        <f>300+'4_Revenue'!AQ26/12*0.02</f>
        <v>10899.29351</v>
      </c>
      <c r="AR39" s="167">
        <f>300+'4_Revenue'!AR26/12*0.02</f>
        <v>11654.97714</v>
      </c>
      <c r="AS39" s="167">
        <f>300+'4_Revenue'!AS26/12*0.02</f>
        <v>12348.56829</v>
      </c>
      <c r="AT39" s="167">
        <f>300+'4_Revenue'!AT26/12*0.02</f>
        <v>13359.971</v>
      </c>
      <c r="AU39" s="167">
        <f>300+'4_Revenue'!AU26/12*0.02</f>
        <v>14196.64485</v>
      </c>
      <c r="AV39" s="167">
        <f>300+'4_Revenue'!AV26/12*0.02</f>
        <v>15114.3089</v>
      </c>
      <c r="AW39" s="167">
        <f>300+'4_Revenue'!AW26/12*0.02</f>
        <v>15755.18141</v>
      </c>
      <c r="AX39" s="167">
        <f>300+'4_Revenue'!AX26/12*0.02</f>
        <v>17433.74847</v>
      </c>
      <c r="AY39" s="167">
        <f>300+'4_Revenue'!AY26/12*0.02</f>
        <v>18571.94286</v>
      </c>
      <c r="AZ39" s="167">
        <f>300+'4_Revenue'!AZ26/12*0.02</f>
        <v>19516.40867</v>
      </c>
      <c r="BA39" s="167">
        <f>300+'4_Revenue'!BA26/12*0.02</f>
        <v>20512.19228</v>
      </c>
    </row>
    <row r="40" ht="14.25" customHeight="1">
      <c r="A40" s="8" t="s">
        <v>680</v>
      </c>
      <c r="B40" s="167">
        <f t="shared" ref="B40:BA40" si="9">SUM(B37:B39)</f>
        <v>1633.333333</v>
      </c>
      <c r="C40" s="167">
        <f t="shared" si="9"/>
        <v>1633.333333</v>
      </c>
      <c r="D40" s="167">
        <f t="shared" si="9"/>
        <v>1633.333333</v>
      </c>
      <c r="E40" s="167">
        <f t="shared" si="9"/>
        <v>1633.333333</v>
      </c>
      <c r="F40" s="167">
        <f t="shared" si="9"/>
        <v>3133.333333</v>
      </c>
      <c r="G40" s="167">
        <f t="shared" si="9"/>
        <v>3133.333333</v>
      </c>
      <c r="H40" s="167">
        <f t="shared" si="9"/>
        <v>3188.533333</v>
      </c>
      <c r="I40" s="167">
        <f t="shared" si="9"/>
        <v>3188.533333</v>
      </c>
      <c r="J40" s="167">
        <f t="shared" si="9"/>
        <v>3188.533333</v>
      </c>
      <c r="K40" s="167">
        <f t="shared" si="9"/>
        <v>3188.533333</v>
      </c>
      <c r="L40" s="167">
        <f t="shared" si="9"/>
        <v>3243.733333</v>
      </c>
      <c r="M40" s="167">
        <f t="shared" si="9"/>
        <v>3243.733333</v>
      </c>
      <c r="N40" s="167">
        <f t="shared" si="9"/>
        <v>3305.557333</v>
      </c>
      <c r="O40" s="167">
        <f t="shared" si="9"/>
        <v>3305.557333</v>
      </c>
      <c r="P40" s="167">
        <f t="shared" si="9"/>
        <v>3305.557333</v>
      </c>
      <c r="Q40" s="167">
        <f t="shared" si="9"/>
        <v>3305.557333</v>
      </c>
      <c r="R40" s="167">
        <f t="shared" si="9"/>
        <v>6222.224</v>
      </c>
      <c r="S40" s="167">
        <f t="shared" si="9"/>
        <v>6486.8</v>
      </c>
      <c r="T40" s="167">
        <f t="shared" si="9"/>
        <v>6866.192</v>
      </c>
      <c r="U40" s="167">
        <f t="shared" si="9"/>
        <v>6981.008</v>
      </c>
      <c r="V40" s="167">
        <f t="shared" si="9"/>
        <v>7245.584</v>
      </c>
      <c r="W40" s="167">
        <f t="shared" si="9"/>
        <v>7245.584</v>
      </c>
      <c r="X40" s="167">
        <f t="shared" si="9"/>
        <v>7946.96</v>
      </c>
      <c r="Y40" s="167">
        <f t="shared" si="9"/>
        <v>8022.602667</v>
      </c>
      <c r="Z40" s="167">
        <f t="shared" si="9"/>
        <v>8651.824853</v>
      </c>
      <c r="AA40" s="167">
        <f t="shared" si="9"/>
        <v>8957.052373</v>
      </c>
      <c r="AB40" s="167">
        <f t="shared" si="9"/>
        <v>9035.720747</v>
      </c>
      <c r="AC40" s="167">
        <f t="shared" si="9"/>
        <v>9024.255787</v>
      </c>
      <c r="AD40" s="167">
        <f t="shared" si="9"/>
        <v>15346.12416</v>
      </c>
      <c r="AE40" s="167">
        <f t="shared" si="9"/>
        <v>15975.11061</v>
      </c>
      <c r="AF40" s="167">
        <f t="shared" si="9"/>
        <v>16262.16725</v>
      </c>
      <c r="AG40" s="167">
        <f t="shared" si="9"/>
        <v>16801.02037</v>
      </c>
      <c r="AH40" s="167">
        <f t="shared" si="9"/>
        <v>17806.40363</v>
      </c>
      <c r="AI40" s="167">
        <f t="shared" si="9"/>
        <v>17784.98795</v>
      </c>
      <c r="AJ40" s="167">
        <f t="shared" si="9"/>
        <v>18313.89035</v>
      </c>
      <c r="AK40" s="167">
        <f t="shared" si="9"/>
        <v>18490.55168</v>
      </c>
      <c r="AL40" s="167">
        <f t="shared" si="9"/>
        <v>18886.92203</v>
      </c>
      <c r="AM40" s="167">
        <f t="shared" si="9"/>
        <v>19897.49984</v>
      </c>
      <c r="AN40" s="167">
        <f t="shared" si="9"/>
        <v>20435.63478</v>
      </c>
      <c r="AO40" s="167">
        <f t="shared" si="9"/>
        <v>21016.9645</v>
      </c>
      <c r="AP40" s="167">
        <f t="shared" si="9"/>
        <v>26803.46941</v>
      </c>
      <c r="AQ40" s="167">
        <f t="shared" si="9"/>
        <v>27982.62684</v>
      </c>
      <c r="AR40" s="167">
        <f t="shared" si="9"/>
        <v>28738.31048</v>
      </c>
      <c r="AS40" s="167">
        <f t="shared" si="9"/>
        <v>29431.90162</v>
      </c>
      <c r="AT40" s="167">
        <f t="shared" si="9"/>
        <v>30443.30434</v>
      </c>
      <c r="AU40" s="167">
        <f t="shared" si="9"/>
        <v>31279.97818</v>
      </c>
      <c r="AV40" s="167">
        <f t="shared" si="9"/>
        <v>32197.64223</v>
      </c>
      <c r="AW40" s="167">
        <f t="shared" si="9"/>
        <v>32838.51475</v>
      </c>
      <c r="AX40" s="167">
        <f t="shared" si="9"/>
        <v>34517.0818</v>
      </c>
      <c r="AY40" s="167">
        <f t="shared" si="9"/>
        <v>35655.27619</v>
      </c>
      <c r="AZ40" s="167">
        <f t="shared" si="9"/>
        <v>36599.742</v>
      </c>
      <c r="BA40" s="167">
        <f t="shared" si="9"/>
        <v>37595.52561</v>
      </c>
    </row>
    <row r="41" ht="14.25" customHeight="1">
      <c r="A41" s="153" t="s">
        <v>681</v>
      </c>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row>
    <row r="42" ht="14.25" customHeight="1">
      <c r="A42" s="7" t="s">
        <v>682</v>
      </c>
      <c r="B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C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D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E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F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G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H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I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J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K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L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M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N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O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P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Q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R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S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T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U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V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W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X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Y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Z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A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B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C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D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E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F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G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H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I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J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K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L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M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N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O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P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Q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R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S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T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U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V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W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X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Y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Z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BA42" s="167">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row>
    <row r="43" ht="14.25" customHeight="1">
      <c r="A43" s="7" t="s">
        <v>683</v>
      </c>
      <c r="B43" s="167">
        <f>IF(COLUMN()-1&lt;=4,'2_Inputs'!$B$168,IF(COLUMN()-1&lt;=16,'2_Inputs'!$B$169,IF(COLUMN()-1&lt;=28,'2_Inputs'!$B$170,IF(COLUMN()-1&lt;=40,'2_Inputs'!$B$171,'2_Inputs'!$B$172))))</f>
        <v>50</v>
      </c>
      <c r="C43" s="167">
        <f>IF(COLUMN()-1&lt;=4,'2_Inputs'!$B$168,IF(COLUMN()-1&lt;=16,'2_Inputs'!$B$169,IF(COLUMN()-1&lt;=28,'2_Inputs'!$B$170,IF(COLUMN()-1&lt;=40,'2_Inputs'!$B$171,'2_Inputs'!$B$172))))</f>
        <v>50</v>
      </c>
      <c r="D43" s="167">
        <f>IF(COLUMN()-1&lt;=4,'2_Inputs'!$B$168,IF(COLUMN()-1&lt;=16,'2_Inputs'!$B$169,IF(COLUMN()-1&lt;=28,'2_Inputs'!$B$170,IF(COLUMN()-1&lt;=40,'2_Inputs'!$B$171,'2_Inputs'!$B$172))))</f>
        <v>50</v>
      </c>
      <c r="E43" s="167">
        <f>IF(COLUMN()-1&lt;=4,'2_Inputs'!$B$168,IF(COLUMN()-1&lt;=16,'2_Inputs'!$B$169,IF(COLUMN()-1&lt;=28,'2_Inputs'!$B$170,IF(COLUMN()-1&lt;=40,'2_Inputs'!$B$171,'2_Inputs'!$B$172))))</f>
        <v>50</v>
      </c>
      <c r="F43" s="167">
        <f>IF(COLUMN()-1&lt;=4,'2_Inputs'!$B$168,IF(COLUMN()-1&lt;=16,'2_Inputs'!$B$169,IF(COLUMN()-1&lt;=28,'2_Inputs'!$B$170,IF(COLUMN()-1&lt;=40,'2_Inputs'!$B$171,'2_Inputs'!$B$172))))</f>
        <v>250</v>
      </c>
      <c r="G43" s="167">
        <f>IF(COLUMN()-1&lt;=4,'2_Inputs'!$B$168,IF(COLUMN()-1&lt;=16,'2_Inputs'!$B$169,IF(COLUMN()-1&lt;=28,'2_Inputs'!$B$170,IF(COLUMN()-1&lt;=40,'2_Inputs'!$B$171,'2_Inputs'!$B$172))))</f>
        <v>250</v>
      </c>
      <c r="H43" s="167">
        <f>IF(COLUMN()-1&lt;=4,'2_Inputs'!$B$168,IF(COLUMN()-1&lt;=16,'2_Inputs'!$B$169,IF(COLUMN()-1&lt;=28,'2_Inputs'!$B$170,IF(COLUMN()-1&lt;=40,'2_Inputs'!$B$171,'2_Inputs'!$B$172))))</f>
        <v>250</v>
      </c>
      <c r="I43" s="167">
        <f>IF(COLUMN()-1&lt;=4,'2_Inputs'!$B$168,IF(COLUMN()-1&lt;=16,'2_Inputs'!$B$169,IF(COLUMN()-1&lt;=28,'2_Inputs'!$B$170,IF(COLUMN()-1&lt;=40,'2_Inputs'!$B$171,'2_Inputs'!$B$172))))</f>
        <v>250</v>
      </c>
      <c r="J43" s="167">
        <f>IF(COLUMN()-1&lt;=4,'2_Inputs'!$B$168,IF(COLUMN()-1&lt;=16,'2_Inputs'!$B$169,IF(COLUMN()-1&lt;=28,'2_Inputs'!$B$170,IF(COLUMN()-1&lt;=40,'2_Inputs'!$B$171,'2_Inputs'!$B$172))))</f>
        <v>250</v>
      </c>
      <c r="K43" s="167">
        <f>IF(COLUMN()-1&lt;=4,'2_Inputs'!$B$168,IF(COLUMN()-1&lt;=16,'2_Inputs'!$B$169,IF(COLUMN()-1&lt;=28,'2_Inputs'!$B$170,IF(COLUMN()-1&lt;=40,'2_Inputs'!$B$171,'2_Inputs'!$B$172))))</f>
        <v>250</v>
      </c>
      <c r="L43" s="167">
        <f>IF(COLUMN()-1&lt;=4,'2_Inputs'!$B$168,IF(COLUMN()-1&lt;=16,'2_Inputs'!$B$169,IF(COLUMN()-1&lt;=28,'2_Inputs'!$B$170,IF(COLUMN()-1&lt;=40,'2_Inputs'!$B$171,'2_Inputs'!$B$172))))</f>
        <v>250</v>
      </c>
      <c r="M43" s="167">
        <f>IF(COLUMN()-1&lt;=4,'2_Inputs'!$B$168,IF(COLUMN()-1&lt;=16,'2_Inputs'!$B$169,IF(COLUMN()-1&lt;=28,'2_Inputs'!$B$170,IF(COLUMN()-1&lt;=40,'2_Inputs'!$B$171,'2_Inputs'!$B$172))))</f>
        <v>250</v>
      </c>
      <c r="N43" s="167">
        <f>IF(COLUMN()-1&lt;=4,'2_Inputs'!$B$168,IF(COLUMN()-1&lt;=16,'2_Inputs'!$B$169,IF(COLUMN()-1&lt;=28,'2_Inputs'!$B$170,IF(COLUMN()-1&lt;=40,'2_Inputs'!$B$171,'2_Inputs'!$B$172))))</f>
        <v>250</v>
      </c>
      <c r="O43" s="167">
        <f>IF(COLUMN()-1&lt;=4,'2_Inputs'!$B$168,IF(COLUMN()-1&lt;=16,'2_Inputs'!$B$169,IF(COLUMN()-1&lt;=28,'2_Inputs'!$B$170,IF(COLUMN()-1&lt;=40,'2_Inputs'!$B$171,'2_Inputs'!$B$172))))</f>
        <v>250</v>
      </c>
      <c r="P43" s="167">
        <f>IF(COLUMN()-1&lt;=4,'2_Inputs'!$B$168,IF(COLUMN()-1&lt;=16,'2_Inputs'!$B$169,IF(COLUMN()-1&lt;=28,'2_Inputs'!$B$170,IF(COLUMN()-1&lt;=40,'2_Inputs'!$B$171,'2_Inputs'!$B$172))))</f>
        <v>250</v>
      </c>
      <c r="Q43" s="167">
        <f>IF(COLUMN()-1&lt;=4,'2_Inputs'!$B$168,IF(COLUMN()-1&lt;=16,'2_Inputs'!$B$169,IF(COLUMN()-1&lt;=28,'2_Inputs'!$B$170,IF(COLUMN()-1&lt;=40,'2_Inputs'!$B$171,'2_Inputs'!$B$172))))</f>
        <v>250</v>
      </c>
      <c r="R43" s="167">
        <f>IF(COLUMN()-1&lt;=4,'2_Inputs'!$B$168,IF(COLUMN()-1&lt;=16,'2_Inputs'!$B$169,IF(COLUMN()-1&lt;=28,'2_Inputs'!$B$170,IF(COLUMN()-1&lt;=40,'2_Inputs'!$B$171,'2_Inputs'!$B$172))))</f>
        <v>500</v>
      </c>
      <c r="S43" s="167">
        <f>IF(COLUMN()-1&lt;=4,'2_Inputs'!$B$168,IF(COLUMN()-1&lt;=16,'2_Inputs'!$B$169,IF(COLUMN()-1&lt;=28,'2_Inputs'!$B$170,IF(COLUMN()-1&lt;=40,'2_Inputs'!$B$171,'2_Inputs'!$B$172))))</f>
        <v>500</v>
      </c>
      <c r="T43" s="167">
        <f>IF(COLUMN()-1&lt;=4,'2_Inputs'!$B$168,IF(COLUMN()-1&lt;=16,'2_Inputs'!$B$169,IF(COLUMN()-1&lt;=28,'2_Inputs'!$B$170,IF(COLUMN()-1&lt;=40,'2_Inputs'!$B$171,'2_Inputs'!$B$172))))</f>
        <v>500</v>
      </c>
      <c r="U43" s="167">
        <f>IF(COLUMN()-1&lt;=4,'2_Inputs'!$B$168,IF(COLUMN()-1&lt;=16,'2_Inputs'!$B$169,IF(COLUMN()-1&lt;=28,'2_Inputs'!$B$170,IF(COLUMN()-1&lt;=40,'2_Inputs'!$B$171,'2_Inputs'!$B$172))))</f>
        <v>500</v>
      </c>
      <c r="V43" s="167">
        <f>IF(COLUMN()-1&lt;=4,'2_Inputs'!$B$168,IF(COLUMN()-1&lt;=16,'2_Inputs'!$B$169,IF(COLUMN()-1&lt;=28,'2_Inputs'!$B$170,IF(COLUMN()-1&lt;=40,'2_Inputs'!$B$171,'2_Inputs'!$B$172))))</f>
        <v>500</v>
      </c>
      <c r="W43" s="167">
        <f>IF(COLUMN()-1&lt;=4,'2_Inputs'!$B$168,IF(COLUMN()-1&lt;=16,'2_Inputs'!$B$169,IF(COLUMN()-1&lt;=28,'2_Inputs'!$B$170,IF(COLUMN()-1&lt;=40,'2_Inputs'!$B$171,'2_Inputs'!$B$172))))</f>
        <v>500</v>
      </c>
      <c r="X43" s="167">
        <f>IF(COLUMN()-1&lt;=4,'2_Inputs'!$B$168,IF(COLUMN()-1&lt;=16,'2_Inputs'!$B$169,IF(COLUMN()-1&lt;=28,'2_Inputs'!$B$170,IF(COLUMN()-1&lt;=40,'2_Inputs'!$B$171,'2_Inputs'!$B$172))))</f>
        <v>500</v>
      </c>
      <c r="Y43" s="167">
        <f>IF(COLUMN()-1&lt;=4,'2_Inputs'!$B$168,IF(COLUMN()-1&lt;=16,'2_Inputs'!$B$169,IF(COLUMN()-1&lt;=28,'2_Inputs'!$B$170,IF(COLUMN()-1&lt;=40,'2_Inputs'!$B$171,'2_Inputs'!$B$172))))</f>
        <v>500</v>
      </c>
      <c r="Z43" s="167">
        <f>IF(COLUMN()-1&lt;=4,'2_Inputs'!$B$168,IF(COLUMN()-1&lt;=16,'2_Inputs'!$B$169,IF(COLUMN()-1&lt;=28,'2_Inputs'!$B$170,IF(COLUMN()-1&lt;=40,'2_Inputs'!$B$171,'2_Inputs'!$B$172))))</f>
        <v>500</v>
      </c>
      <c r="AA43" s="167">
        <f>IF(COLUMN()-1&lt;=4,'2_Inputs'!$B$168,IF(COLUMN()-1&lt;=16,'2_Inputs'!$B$169,IF(COLUMN()-1&lt;=28,'2_Inputs'!$B$170,IF(COLUMN()-1&lt;=40,'2_Inputs'!$B$171,'2_Inputs'!$B$172))))</f>
        <v>500</v>
      </c>
      <c r="AB43" s="167">
        <f>IF(COLUMN()-1&lt;=4,'2_Inputs'!$B$168,IF(COLUMN()-1&lt;=16,'2_Inputs'!$B$169,IF(COLUMN()-1&lt;=28,'2_Inputs'!$B$170,IF(COLUMN()-1&lt;=40,'2_Inputs'!$B$171,'2_Inputs'!$B$172))))</f>
        <v>500</v>
      </c>
      <c r="AC43" s="167">
        <f>IF(COLUMN()-1&lt;=4,'2_Inputs'!$B$168,IF(COLUMN()-1&lt;=16,'2_Inputs'!$B$169,IF(COLUMN()-1&lt;=28,'2_Inputs'!$B$170,IF(COLUMN()-1&lt;=40,'2_Inputs'!$B$171,'2_Inputs'!$B$172))))</f>
        <v>500</v>
      </c>
      <c r="AD43" s="167">
        <f>IF(COLUMN()-1&lt;=4,'2_Inputs'!$B$168,IF(COLUMN()-1&lt;=16,'2_Inputs'!$B$169,IF(COLUMN()-1&lt;=28,'2_Inputs'!$B$170,IF(COLUMN()-1&lt;=40,'2_Inputs'!$B$171,'2_Inputs'!$B$172))))</f>
        <v>750</v>
      </c>
      <c r="AE43" s="167">
        <f>IF(COLUMN()-1&lt;=4,'2_Inputs'!$B$168,IF(COLUMN()-1&lt;=16,'2_Inputs'!$B$169,IF(COLUMN()-1&lt;=28,'2_Inputs'!$B$170,IF(COLUMN()-1&lt;=40,'2_Inputs'!$B$171,'2_Inputs'!$B$172))))</f>
        <v>750</v>
      </c>
      <c r="AF43" s="167">
        <f>IF(COLUMN()-1&lt;=4,'2_Inputs'!$B$168,IF(COLUMN()-1&lt;=16,'2_Inputs'!$B$169,IF(COLUMN()-1&lt;=28,'2_Inputs'!$B$170,IF(COLUMN()-1&lt;=40,'2_Inputs'!$B$171,'2_Inputs'!$B$172))))</f>
        <v>750</v>
      </c>
      <c r="AG43" s="167">
        <f>IF(COLUMN()-1&lt;=4,'2_Inputs'!$B$168,IF(COLUMN()-1&lt;=16,'2_Inputs'!$B$169,IF(COLUMN()-1&lt;=28,'2_Inputs'!$B$170,IF(COLUMN()-1&lt;=40,'2_Inputs'!$B$171,'2_Inputs'!$B$172))))</f>
        <v>750</v>
      </c>
      <c r="AH43" s="167">
        <f>IF(COLUMN()-1&lt;=4,'2_Inputs'!$B$168,IF(COLUMN()-1&lt;=16,'2_Inputs'!$B$169,IF(COLUMN()-1&lt;=28,'2_Inputs'!$B$170,IF(COLUMN()-1&lt;=40,'2_Inputs'!$B$171,'2_Inputs'!$B$172))))</f>
        <v>750</v>
      </c>
      <c r="AI43" s="167">
        <f>IF(COLUMN()-1&lt;=4,'2_Inputs'!$B$168,IF(COLUMN()-1&lt;=16,'2_Inputs'!$B$169,IF(COLUMN()-1&lt;=28,'2_Inputs'!$B$170,IF(COLUMN()-1&lt;=40,'2_Inputs'!$B$171,'2_Inputs'!$B$172))))</f>
        <v>750</v>
      </c>
      <c r="AJ43" s="167">
        <f>IF(COLUMN()-1&lt;=4,'2_Inputs'!$B$168,IF(COLUMN()-1&lt;=16,'2_Inputs'!$B$169,IF(COLUMN()-1&lt;=28,'2_Inputs'!$B$170,IF(COLUMN()-1&lt;=40,'2_Inputs'!$B$171,'2_Inputs'!$B$172))))</f>
        <v>750</v>
      </c>
      <c r="AK43" s="167">
        <f>IF(COLUMN()-1&lt;=4,'2_Inputs'!$B$168,IF(COLUMN()-1&lt;=16,'2_Inputs'!$B$169,IF(COLUMN()-1&lt;=28,'2_Inputs'!$B$170,IF(COLUMN()-1&lt;=40,'2_Inputs'!$B$171,'2_Inputs'!$B$172))))</f>
        <v>750</v>
      </c>
      <c r="AL43" s="167">
        <f>IF(COLUMN()-1&lt;=4,'2_Inputs'!$B$168,IF(COLUMN()-1&lt;=16,'2_Inputs'!$B$169,IF(COLUMN()-1&lt;=28,'2_Inputs'!$B$170,IF(COLUMN()-1&lt;=40,'2_Inputs'!$B$171,'2_Inputs'!$B$172))))</f>
        <v>750</v>
      </c>
      <c r="AM43" s="167">
        <f>IF(COLUMN()-1&lt;=4,'2_Inputs'!$B$168,IF(COLUMN()-1&lt;=16,'2_Inputs'!$B$169,IF(COLUMN()-1&lt;=28,'2_Inputs'!$B$170,IF(COLUMN()-1&lt;=40,'2_Inputs'!$B$171,'2_Inputs'!$B$172))))</f>
        <v>750</v>
      </c>
      <c r="AN43" s="167">
        <f>IF(COLUMN()-1&lt;=4,'2_Inputs'!$B$168,IF(COLUMN()-1&lt;=16,'2_Inputs'!$B$169,IF(COLUMN()-1&lt;=28,'2_Inputs'!$B$170,IF(COLUMN()-1&lt;=40,'2_Inputs'!$B$171,'2_Inputs'!$B$172))))</f>
        <v>750</v>
      </c>
      <c r="AO43" s="167">
        <f>IF(COLUMN()-1&lt;=4,'2_Inputs'!$B$168,IF(COLUMN()-1&lt;=16,'2_Inputs'!$B$169,IF(COLUMN()-1&lt;=28,'2_Inputs'!$B$170,IF(COLUMN()-1&lt;=40,'2_Inputs'!$B$171,'2_Inputs'!$B$172))))</f>
        <v>750</v>
      </c>
      <c r="AP43" s="167">
        <f>IF(COLUMN()-1&lt;=4,'2_Inputs'!$B$168,IF(COLUMN()-1&lt;=16,'2_Inputs'!$B$169,IF(COLUMN()-1&lt;=28,'2_Inputs'!$B$170,IF(COLUMN()-1&lt;=40,'2_Inputs'!$B$171,'2_Inputs'!$B$172))))</f>
        <v>1000</v>
      </c>
      <c r="AQ43" s="167">
        <f>IF(COLUMN()-1&lt;=4,'2_Inputs'!$B$168,IF(COLUMN()-1&lt;=16,'2_Inputs'!$B$169,IF(COLUMN()-1&lt;=28,'2_Inputs'!$B$170,IF(COLUMN()-1&lt;=40,'2_Inputs'!$B$171,'2_Inputs'!$B$172))))</f>
        <v>1000</v>
      </c>
      <c r="AR43" s="167">
        <f>IF(COLUMN()-1&lt;=4,'2_Inputs'!$B$168,IF(COLUMN()-1&lt;=16,'2_Inputs'!$B$169,IF(COLUMN()-1&lt;=28,'2_Inputs'!$B$170,IF(COLUMN()-1&lt;=40,'2_Inputs'!$B$171,'2_Inputs'!$B$172))))</f>
        <v>1000</v>
      </c>
      <c r="AS43" s="167">
        <f>IF(COLUMN()-1&lt;=4,'2_Inputs'!$B$168,IF(COLUMN()-1&lt;=16,'2_Inputs'!$B$169,IF(COLUMN()-1&lt;=28,'2_Inputs'!$B$170,IF(COLUMN()-1&lt;=40,'2_Inputs'!$B$171,'2_Inputs'!$B$172))))</f>
        <v>1000</v>
      </c>
      <c r="AT43" s="167">
        <f>IF(COLUMN()-1&lt;=4,'2_Inputs'!$B$168,IF(COLUMN()-1&lt;=16,'2_Inputs'!$B$169,IF(COLUMN()-1&lt;=28,'2_Inputs'!$B$170,IF(COLUMN()-1&lt;=40,'2_Inputs'!$B$171,'2_Inputs'!$B$172))))</f>
        <v>1000</v>
      </c>
      <c r="AU43" s="167">
        <f>IF(COLUMN()-1&lt;=4,'2_Inputs'!$B$168,IF(COLUMN()-1&lt;=16,'2_Inputs'!$B$169,IF(COLUMN()-1&lt;=28,'2_Inputs'!$B$170,IF(COLUMN()-1&lt;=40,'2_Inputs'!$B$171,'2_Inputs'!$B$172))))</f>
        <v>1000</v>
      </c>
      <c r="AV43" s="167">
        <f>IF(COLUMN()-1&lt;=4,'2_Inputs'!$B$168,IF(COLUMN()-1&lt;=16,'2_Inputs'!$B$169,IF(COLUMN()-1&lt;=28,'2_Inputs'!$B$170,IF(COLUMN()-1&lt;=40,'2_Inputs'!$B$171,'2_Inputs'!$B$172))))</f>
        <v>1000</v>
      </c>
      <c r="AW43" s="167">
        <f>IF(COLUMN()-1&lt;=4,'2_Inputs'!$B$168,IF(COLUMN()-1&lt;=16,'2_Inputs'!$B$169,IF(COLUMN()-1&lt;=28,'2_Inputs'!$B$170,IF(COLUMN()-1&lt;=40,'2_Inputs'!$B$171,'2_Inputs'!$B$172))))</f>
        <v>1000</v>
      </c>
      <c r="AX43" s="167">
        <f>IF(COLUMN()-1&lt;=4,'2_Inputs'!$B$168,IF(COLUMN()-1&lt;=16,'2_Inputs'!$B$169,IF(COLUMN()-1&lt;=28,'2_Inputs'!$B$170,IF(COLUMN()-1&lt;=40,'2_Inputs'!$B$171,'2_Inputs'!$B$172))))</f>
        <v>1000</v>
      </c>
      <c r="AY43" s="167">
        <f>IF(COLUMN()-1&lt;=4,'2_Inputs'!$B$168,IF(COLUMN()-1&lt;=16,'2_Inputs'!$B$169,IF(COLUMN()-1&lt;=28,'2_Inputs'!$B$170,IF(COLUMN()-1&lt;=40,'2_Inputs'!$B$171,'2_Inputs'!$B$172))))</f>
        <v>1000</v>
      </c>
      <c r="AZ43" s="167">
        <f>IF(COLUMN()-1&lt;=4,'2_Inputs'!$B$168,IF(COLUMN()-1&lt;=16,'2_Inputs'!$B$169,IF(COLUMN()-1&lt;=28,'2_Inputs'!$B$170,IF(COLUMN()-1&lt;=40,'2_Inputs'!$B$171,'2_Inputs'!$B$172))))</f>
        <v>1000</v>
      </c>
      <c r="BA43" s="167">
        <f>IF(COLUMN()-1&lt;=4,'2_Inputs'!$B$168,IF(COLUMN()-1&lt;=16,'2_Inputs'!$B$169,IF(COLUMN()-1&lt;=28,'2_Inputs'!$B$170,IF(COLUMN()-1&lt;=40,'2_Inputs'!$B$171,'2_Inputs'!$B$172))))</f>
        <v>1000</v>
      </c>
    </row>
    <row r="44" ht="14.25" customHeight="1">
      <c r="A44" s="7" t="s">
        <v>684</v>
      </c>
      <c r="B44" s="167">
        <f t="shared" ref="B44:BA44" si="10">0</f>
        <v>0</v>
      </c>
      <c r="C44" s="167">
        <f t="shared" si="10"/>
        <v>0</v>
      </c>
      <c r="D44" s="167">
        <f t="shared" si="10"/>
        <v>0</v>
      </c>
      <c r="E44" s="167">
        <f t="shared" si="10"/>
        <v>0</v>
      </c>
      <c r="F44" s="167">
        <f t="shared" si="10"/>
        <v>0</v>
      </c>
      <c r="G44" s="167">
        <f t="shared" si="10"/>
        <v>0</v>
      </c>
      <c r="H44" s="167">
        <f t="shared" si="10"/>
        <v>0</v>
      </c>
      <c r="I44" s="167">
        <f t="shared" si="10"/>
        <v>0</v>
      </c>
      <c r="J44" s="167">
        <f t="shared" si="10"/>
        <v>0</v>
      </c>
      <c r="K44" s="167">
        <f t="shared" si="10"/>
        <v>0</v>
      </c>
      <c r="L44" s="167">
        <f t="shared" si="10"/>
        <v>0</v>
      </c>
      <c r="M44" s="167">
        <f t="shared" si="10"/>
        <v>0</v>
      </c>
      <c r="N44" s="167">
        <f t="shared" si="10"/>
        <v>0</v>
      </c>
      <c r="O44" s="167">
        <f t="shared" si="10"/>
        <v>0</v>
      </c>
      <c r="P44" s="167">
        <f t="shared" si="10"/>
        <v>0</v>
      </c>
      <c r="Q44" s="167">
        <f t="shared" si="10"/>
        <v>0</v>
      </c>
      <c r="R44" s="167">
        <f t="shared" si="10"/>
        <v>0</v>
      </c>
      <c r="S44" s="167">
        <f t="shared" si="10"/>
        <v>0</v>
      </c>
      <c r="T44" s="167">
        <f t="shared" si="10"/>
        <v>0</v>
      </c>
      <c r="U44" s="167">
        <f t="shared" si="10"/>
        <v>0</v>
      </c>
      <c r="V44" s="167">
        <f t="shared" si="10"/>
        <v>0</v>
      </c>
      <c r="W44" s="167">
        <f t="shared" si="10"/>
        <v>0</v>
      </c>
      <c r="X44" s="167">
        <f t="shared" si="10"/>
        <v>0</v>
      </c>
      <c r="Y44" s="167">
        <f t="shared" si="10"/>
        <v>0</v>
      </c>
      <c r="Z44" s="167">
        <f t="shared" si="10"/>
        <v>0</v>
      </c>
      <c r="AA44" s="167">
        <f t="shared" si="10"/>
        <v>0</v>
      </c>
      <c r="AB44" s="167">
        <f t="shared" si="10"/>
        <v>0</v>
      </c>
      <c r="AC44" s="167">
        <f t="shared" si="10"/>
        <v>0</v>
      </c>
      <c r="AD44" s="167">
        <f t="shared" si="10"/>
        <v>0</v>
      </c>
      <c r="AE44" s="167">
        <f t="shared" si="10"/>
        <v>0</v>
      </c>
      <c r="AF44" s="167">
        <f t="shared" si="10"/>
        <v>0</v>
      </c>
      <c r="AG44" s="167">
        <f t="shared" si="10"/>
        <v>0</v>
      </c>
      <c r="AH44" s="167">
        <f t="shared" si="10"/>
        <v>0</v>
      </c>
      <c r="AI44" s="167">
        <f t="shared" si="10"/>
        <v>0</v>
      </c>
      <c r="AJ44" s="167">
        <f t="shared" si="10"/>
        <v>0</v>
      </c>
      <c r="AK44" s="167">
        <f t="shared" si="10"/>
        <v>0</v>
      </c>
      <c r="AL44" s="167">
        <f t="shared" si="10"/>
        <v>0</v>
      </c>
      <c r="AM44" s="167">
        <f t="shared" si="10"/>
        <v>0</v>
      </c>
      <c r="AN44" s="167">
        <f t="shared" si="10"/>
        <v>0</v>
      </c>
      <c r="AO44" s="167">
        <f t="shared" si="10"/>
        <v>0</v>
      </c>
      <c r="AP44" s="167">
        <f t="shared" si="10"/>
        <v>0</v>
      </c>
      <c r="AQ44" s="167">
        <f t="shared" si="10"/>
        <v>0</v>
      </c>
      <c r="AR44" s="167">
        <f t="shared" si="10"/>
        <v>0</v>
      </c>
      <c r="AS44" s="167">
        <f t="shared" si="10"/>
        <v>0</v>
      </c>
      <c r="AT44" s="167">
        <f t="shared" si="10"/>
        <v>0</v>
      </c>
      <c r="AU44" s="167">
        <f t="shared" si="10"/>
        <v>0</v>
      </c>
      <c r="AV44" s="167">
        <f t="shared" si="10"/>
        <v>0</v>
      </c>
      <c r="AW44" s="167">
        <f t="shared" si="10"/>
        <v>0</v>
      </c>
      <c r="AX44" s="167">
        <f t="shared" si="10"/>
        <v>0</v>
      </c>
      <c r="AY44" s="167">
        <f t="shared" si="10"/>
        <v>0</v>
      </c>
      <c r="AZ44" s="167">
        <f t="shared" si="10"/>
        <v>0</v>
      </c>
      <c r="BA44" s="167">
        <f t="shared" si="10"/>
        <v>0</v>
      </c>
    </row>
    <row r="45" ht="14.25" customHeight="1">
      <c r="A45" s="8" t="s">
        <v>685</v>
      </c>
      <c r="B45" s="167">
        <f t="shared" ref="B45:BA45" si="11">SUM(B42:B44)</f>
        <v>350</v>
      </c>
      <c r="C45" s="167">
        <f t="shared" si="11"/>
        <v>350</v>
      </c>
      <c r="D45" s="167">
        <f t="shared" si="11"/>
        <v>350</v>
      </c>
      <c r="E45" s="167">
        <f t="shared" si="11"/>
        <v>350</v>
      </c>
      <c r="F45" s="167">
        <f t="shared" si="11"/>
        <v>1650</v>
      </c>
      <c r="G45" s="167">
        <f t="shared" si="11"/>
        <v>1650</v>
      </c>
      <c r="H45" s="167">
        <f t="shared" si="11"/>
        <v>1650</v>
      </c>
      <c r="I45" s="167">
        <f t="shared" si="11"/>
        <v>1650</v>
      </c>
      <c r="J45" s="167">
        <f t="shared" si="11"/>
        <v>1650</v>
      </c>
      <c r="K45" s="167">
        <f t="shared" si="11"/>
        <v>1750</v>
      </c>
      <c r="L45" s="167">
        <f t="shared" si="11"/>
        <v>1750</v>
      </c>
      <c r="M45" s="167">
        <f t="shared" si="11"/>
        <v>1750</v>
      </c>
      <c r="N45" s="167">
        <f t="shared" si="11"/>
        <v>1750</v>
      </c>
      <c r="O45" s="167">
        <f t="shared" si="11"/>
        <v>1850</v>
      </c>
      <c r="P45" s="167">
        <f t="shared" si="11"/>
        <v>1850</v>
      </c>
      <c r="Q45" s="167">
        <f t="shared" si="11"/>
        <v>1850</v>
      </c>
      <c r="R45" s="167">
        <f t="shared" si="11"/>
        <v>3700</v>
      </c>
      <c r="S45" s="167">
        <f t="shared" si="11"/>
        <v>3700</v>
      </c>
      <c r="T45" s="167">
        <f t="shared" si="11"/>
        <v>3700</v>
      </c>
      <c r="U45" s="167">
        <f t="shared" si="11"/>
        <v>3700</v>
      </c>
      <c r="V45" s="167">
        <f t="shared" si="11"/>
        <v>3700</v>
      </c>
      <c r="W45" s="167">
        <f t="shared" si="11"/>
        <v>3800</v>
      </c>
      <c r="X45" s="167">
        <f t="shared" si="11"/>
        <v>3800</v>
      </c>
      <c r="Y45" s="167">
        <f t="shared" si="11"/>
        <v>3800</v>
      </c>
      <c r="Z45" s="167">
        <f t="shared" si="11"/>
        <v>3900</v>
      </c>
      <c r="AA45" s="167">
        <f t="shared" si="11"/>
        <v>3900</v>
      </c>
      <c r="AB45" s="167">
        <f t="shared" si="11"/>
        <v>3900</v>
      </c>
      <c r="AC45" s="167">
        <f t="shared" si="11"/>
        <v>3900</v>
      </c>
      <c r="AD45" s="167">
        <f t="shared" si="11"/>
        <v>6150</v>
      </c>
      <c r="AE45" s="167">
        <f t="shared" si="11"/>
        <v>6150</v>
      </c>
      <c r="AF45" s="167">
        <f t="shared" si="11"/>
        <v>6150</v>
      </c>
      <c r="AG45" s="167">
        <f t="shared" si="11"/>
        <v>6150</v>
      </c>
      <c r="AH45" s="167">
        <f t="shared" si="11"/>
        <v>6150</v>
      </c>
      <c r="AI45" s="167">
        <f t="shared" si="11"/>
        <v>6150</v>
      </c>
      <c r="AJ45" s="167">
        <f t="shared" si="11"/>
        <v>6150</v>
      </c>
      <c r="AK45" s="167">
        <f t="shared" si="11"/>
        <v>6150</v>
      </c>
      <c r="AL45" s="167">
        <f t="shared" si="11"/>
        <v>6150</v>
      </c>
      <c r="AM45" s="167">
        <f t="shared" si="11"/>
        <v>6150</v>
      </c>
      <c r="AN45" s="167">
        <f t="shared" si="11"/>
        <v>6150</v>
      </c>
      <c r="AO45" s="167">
        <f t="shared" si="11"/>
        <v>6150</v>
      </c>
      <c r="AP45" s="167">
        <f t="shared" si="11"/>
        <v>8400</v>
      </c>
      <c r="AQ45" s="167">
        <f t="shared" si="11"/>
        <v>8400</v>
      </c>
      <c r="AR45" s="167">
        <f t="shared" si="11"/>
        <v>8400</v>
      </c>
      <c r="AS45" s="167">
        <f t="shared" si="11"/>
        <v>8400</v>
      </c>
      <c r="AT45" s="167">
        <f t="shared" si="11"/>
        <v>8400</v>
      </c>
      <c r="AU45" s="167">
        <f t="shared" si="11"/>
        <v>8400</v>
      </c>
      <c r="AV45" s="167">
        <f t="shared" si="11"/>
        <v>8400</v>
      </c>
      <c r="AW45" s="167">
        <f t="shared" si="11"/>
        <v>8400</v>
      </c>
      <c r="AX45" s="167">
        <f t="shared" si="11"/>
        <v>8400</v>
      </c>
      <c r="AY45" s="167">
        <f t="shared" si="11"/>
        <v>8400</v>
      </c>
      <c r="AZ45" s="167">
        <f t="shared" si="11"/>
        <v>8400</v>
      </c>
      <c r="BA45" s="167">
        <f t="shared" si="11"/>
        <v>8400</v>
      </c>
    </row>
    <row r="46" ht="14.25" customHeight="1">
      <c r="A46" s="153" t="s">
        <v>686</v>
      </c>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row>
    <row r="47" ht="14.25" customHeight="1">
      <c r="A47" s="7" t="s">
        <v>687</v>
      </c>
      <c r="B47" s="167">
        <f>'4_Revenue'!B25*'2_Inputs'!$B$173</f>
        <v>0</v>
      </c>
      <c r="C47" s="167">
        <f>'4_Revenue'!C25*'2_Inputs'!$B$173</f>
        <v>0</v>
      </c>
      <c r="D47" s="167">
        <f>'4_Revenue'!D25*'2_Inputs'!$B$173</f>
        <v>0</v>
      </c>
      <c r="E47" s="167">
        <f>'4_Revenue'!E25*'2_Inputs'!$B$173</f>
        <v>0</v>
      </c>
      <c r="F47" s="167">
        <f>'4_Revenue'!F25*'2_Inputs'!$B$173</f>
        <v>0</v>
      </c>
      <c r="G47" s="167">
        <f>'4_Revenue'!G25*'2_Inputs'!$B$173</f>
        <v>0</v>
      </c>
      <c r="H47" s="167">
        <f>'4_Revenue'!H25*'2_Inputs'!$B$173</f>
        <v>69</v>
      </c>
      <c r="I47" s="167">
        <f>'4_Revenue'!I25*'2_Inputs'!$B$173</f>
        <v>69</v>
      </c>
      <c r="J47" s="167">
        <f>'4_Revenue'!J25*'2_Inputs'!$B$173</f>
        <v>69</v>
      </c>
      <c r="K47" s="167">
        <f>'4_Revenue'!K25*'2_Inputs'!$B$173</f>
        <v>69</v>
      </c>
      <c r="L47" s="167">
        <f>'4_Revenue'!L25*'2_Inputs'!$B$173</f>
        <v>138</v>
      </c>
      <c r="M47" s="167">
        <f>'4_Revenue'!M25*'2_Inputs'!$B$173</f>
        <v>138</v>
      </c>
      <c r="N47" s="167">
        <f>'4_Revenue'!N25*'2_Inputs'!$B$173</f>
        <v>215.28</v>
      </c>
      <c r="O47" s="167">
        <f>'4_Revenue'!O25*'2_Inputs'!$B$173</f>
        <v>215.28</v>
      </c>
      <c r="P47" s="167">
        <f>'4_Revenue'!P25*'2_Inputs'!$B$173</f>
        <v>215.28</v>
      </c>
      <c r="Q47" s="167">
        <f>'4_Revenue'!Q25*'2_Inputs'!$B$173</f>
        <v>215.28</v>
      </c>
      <c r="R47" s="167">
        <f>'4_Revenue'!R25*'2_Inputs'!$B$173</f>
        <v>215.28</v>
      </c>
      <c r="S47" s="167">
        <f>'4_Revenue'!S25*'2_Inputs'!$B$173</f>
        <v>546</v>
      </c>
      <c r="T47" s="167">
        <f>'4_Revenue'!T25*'2_Inputs'!$B$173</f>
        <v>1020.24</v>
      </c>
      <c r="U47" s="167">
        <f>'4_Revenue'!U25*'2_Inputs'!$B$173</f>
        <v>1163.76</v>
      </c>
      <c r="V47" s="167">
        <f>'4_Revenue'!V25*'2_Inputs'!$B$173</f>
        <v>1494.48</v>
      </c>
      <c r="W47" s="167">
        <f>'4_Revenue'!W25*'2_Inputs'!$B$173</f>
        <v>1494.48</v>
      </c>
      <c r="X47" s="167">
        <f>'4_Revenue'!X25*'2_Inputs'!$B$173</f>
        <v>2371.2</v>
      </c>
      <c r="Y47" s="167">
        <f>'4_Revenue'!Y25*'2_Inputs'!$B$173</f>
        <v>2465.753333</v>
      </c>
      <c r="Z47" s="167">
        <f>'4_Revenue'!Z25*'2_Inputs'!$B$173</f>
        <v>3252.281067</v>
      </c>
      <c r="AA47" s="167">
        <f>'4_Revenue'!AA25*'2_Inputs'!$B$173</f>
        <v>3633.815467</v>
      </c>
      <c r="AB47" s="167">
        <f>'4_Revenue'!AB25*'2_Inputs'!$B$173</f>
        <v>3732.150933</v>
      </c>
      <c r="AC47" s="167">
        <f>'4_Revenue'!AC25*'2_Inputs'!$B$173</f>
        <v>3717.819733</v>
      </c>
      <c r="AD47" s="167">
        <f>'4_Revenue'!AD25*'2_Inputs'!$B$173</f>
        <v>3703.488533</v>
      </c>
      <c r="AE47" s="167">
        <f>'4_Revenue'!AE25*'2_Inputs'!$B$173</f>
        <v>4489.7216</v>
      </c>
      <c r="AF47" s="167">
        <f>'4_Revenue'!AF25*'2_Inputs'!$B$173</f>
        <v>4848.5424</v>
      </c>
      <c r="AG47" s="167">
        <f>'4_Revenue'!AG25*'2_Inputs'!$B$173</f>
        <v>5522.1088</v>
      </c>
      <c r="AH47" s="167">
        <f>'4_Revenue'!AH25*'2_Inputs'!$B$173</f>
        <v>6778.837867</v>
      </c>
      <c r="AI47" s="167">
        <f>'4_Revenue'!AI25*'2_Inputs'!$B$173</f>
        <v>6752.068267</v>
      </c>
      <c r="AJ47" s="167">
        <f>'4_Revenue'!AJ25*'2_Inputs'!$B$173</f>
        <v>7413.196267</v>
      </c>
      <c r="AK47" s="167">
        <f>'4_Revenue'!AK25*'2_Inputs'!$B$173</f>
        <v>7634.022933</v>
      </c>
      <c r="AL47" s="167">
        <f>'4_Revenue'!AL25*'2_Inputs'!$B$173</f>
        <v>8129.485867</v>
      </c>
      <c r="AM47" s="167">
        <f>'4_Revenue'!AM25*'2_Inputs'!$B$173</f>
        <v>9392.708139</v>
      </c>
      <c r="AN47" s="167">
        <f>'4_Revenue'!AN25*'2_Inputs'!$B$173</f>
        <v>10065.37681</v>
      </c>
      <c r="AO47" s="167">
        <f>'4_Revenue'!AO25*'2_Inputs'!$B$173</f>
        <v>10792.03895</v>
      </c>
      <c r="AP47" s="167">
        <f>'4_Revenue'!AP25*'2_Inputs'!$B$173</f>
        <v>11775.17009</v>
      </c>
      <c r="AQ47" s="167">
        <f>'4_Revenue'!AQ25*'2_Inputs'!$B$173</f>
        <v>13249.11689</v>
      </c>
      <c r="AR47" s="167">
        <f>'4_Revenue'!AR25*'2_Inputs'!$B$173</f>
        <v>14193.72143</v>
      </c>
      <c r="AS47" s="167">
        <f>'4_Revenue'!AS25*'2_Inputs'!$B$173</f>
        <v>15060.71036</v>
      </c>
      <c r="AT47" s="167">
        <f>'4_Revenue'!AT25*'2_Inputs'!$B$173</f>
        <v>16324.96375</v>
      </c>
      <c r="AU47" s="167">
        <f>'4_Revenue'!AU25*'2_Inputs'!$B$173</f>
        <v>17370.80606</v>
      </c>
      <c r="AV47" s="167">
        <f>'4_Revenue'!AV25*'2_Inputs'!$B$173</f>
        <v>18517.88612</v>
      </c>
      <c r="AW47" s="167">
        <f>'4_Revenue'!AW25*'2_Inputs'!$B$173</f>
        <v>19318.97677</v>
      </c>
      <c r="AX47" s="167">
        <f>'4_Revenue'!AX25*'2_Inputs'!$B$173</f>
        <v>21417.18559</v>
      </c>
      <c r="AY47" s="167">
        <f>'4_Revenue'!AY25*'2_Inputs'!$B$173</f>
        <v>22839.92857</v>
      </c>
      <c r="AZ47" s="167">
        <f>'4_Revenue'!AZ25*'2_Inputs'!$B$173</f>
        <v>24020.51084</v>
      </c>
      <c r="BA47" s="167">
        <f>'4_Revenue'!BA25*'2_Inputs'!$B$173</f>
        <v>25265.24034</v>
      </c>
    </row>
    <row r="48" ht="14.25" customHeight="1">
      <c r="A48" s="8" t="s">
        <v>688</v>
      </c>
      <c r="B48" s="167">
        <f t="shared" ref="B48:BA48" si="12">B47</f>
        <v>0</v>
      </c>
      <c r="C48" s="167">
        <f t="shared" si="12"/>
        <v>0</v>
      </c>
      <c r="D48" s="167">
        <f t="shared" si="12"/>
        <v>0</v>
      </c>
      <c r="E48" s="167">
        <f t="shared" si="12"/>
        <v>0</v>
      </c>
      <c r="F48" s="167">
        <f t="shared" si="12"/>
        <v>0</v>
      </c>
      <c r="G48" s="167">
        <f t="shared" si="12"/>
        <v>0</v>
      </c>
      <c r="H48" s="167">
        <f t="shared" si="12"/>
        <v>69</v>
      </c>
      <c r="I48" s="167">
        <f t="shared" si="12"/>
        <v>69</v>
      </c>
      <c r="J48" s="167">
        <f t="shared" si="12"/>
        <v>69</v>
      </c>
      <c r="K48" s="167">
        <f t="shared" si="12"/>
        <v>69</v>
      </c>
      <c r="L48" s="167">
        <f t="shared" si="12"/>
        <v>138</v>
      </c>
      <c r="M48" s="167">
        <f t="shared" si="12"/>
        <v>138</v>
      </c>
      <c r="N48" s="167">
        <f t="shared" si="12"/>
        <v>215.28</v>
      </c>
      <c r="O48" s="167">
        <f t="shared" si="12"/>
        <v>215.28</v>
      </c>
      <c r="P48" s="167">
        <f t="shared" si="12"/>
        <v>215.28</v>
      </c>
      <c r="Q48" s="167">
        <f t="shared" si="12"/>
        <v>215.28</v>
      </c>
      <c r="R48" s="167">
        <f t="shared" si="12"/>
        <v>215.28</v>
      </c>
      <c r="S48" s="167">
        <f t="shared" si="12"/>
        <v>546</v>
      </c>
      <c r="T48" s="167">
        <f t="shared" si="12"/>
        <v>1020.24</v>
      </c>
      <c r="U48" s="167">
        <f t="shared" si="12"/>
        <v>1163.76</v>
      </c>
      <c r="V48" s="167">
        <f t="shared" si="12"/>
        <v>1494.48</v>
      </c>
      <c r="W48" s="167">
        <f t="shared" si="12"/>
        <v>1494.48</v>
      </c>
      <c r="X48" s="167">
        <f t="shared" si="12"/>
        <v>2371.2</v>
      </c>
      <c r="Y48" s="167">
        <f t="shared" si="12"/>
        <v>2465.753333</v>
      </c>
      <c r="Z48" s="167">
        <f t="shared" si="12"/>
        <v>3252.281067</v>
      </c>
      <c r="AA48" s="167">
        <f t="shared" si="12"/>
        <v>3633.815467</v>
      </c>
      <c r="AB48" s="167">
        <f t="shared" si="12"/>
        <v>3732.150933</v>
      </c>
      <c r="AC48" s="167">
        <f t="shared" si="12"/>
        <v>3717.819733</v>
      </c>
      <c r="AD48" s="167">
        <f t="shared" si="12"/>
        <v>3703.488533</v>
      </c>
      <c r="AE48" s="167">
        <f t="shared" si="12"/>
        <v>4489.7216</v>
      </c>
      <c r="AF48" s="167">
        <f t="shared" si="12"/>
        <v>4848.5424</v>
      </c>
      <c r="AG48" s="167">
        <f t="shared" si="12"/>
        <v>5522.1088</v>
      </c>
      <c r="AH48" s="167">
        <f t="shared" si="12"/>
        <v>6778.837867</v>
      </c>
      <c r="AI48" s="167">
        <f t="shared" si="12"/>
        <v>6752.068267</v>
      </c>
      <c r="AJ48" s="167">
        <f t="shared" si="12"/>
        <v>7413.196267</v>
      </c>
      <c r="AK48" s="167">
        <f t="shared" si="12"/>
        <v>7634.022933</v>
      </c>
      <c r="AL48" s="167">
        <f t="shared" si="12"/>
        <v>8129.485867</v>
      </c>
      <c r="AM48" s="167">
        <f t="shared" si="12"/>
        <v>9392.708139</v>
      </c>
      <c r="AN48" s="167">
        <f t="shared" si="12"/>
        <v>10065.37681</v>
      </c>
      <c r="AO48" s="167">
        <f t="shared" si="12"/>
        <v>10792.03895</v>
      </c>
      <c r="AP48" s="167">
        <f t="shared" si="12"/>
        <v>11775.17009</v>
      </c>
      <c r="AQ48" s="167">
        <f t="shared" si="12"/>
        <v>13249.11689</v>
      </c>
      <c r="AR48" s="167">
        <f t="shared" si="12"/>
        <v>14193.72143</v>
      </c>
      <c r="AS48" s="167">
        <f t="shared" si="12"/>
        <v>15060.71036</v>
      </c>
      <c r="AT48" s="167">
        <f t="shared" si="12"/>
        <v>16324.96375</v>
      </c>
      <c r="AU48" s="167">
        <f t="shared" si="12"/>
        <v>17370.80606</v>
      </c>
      <c r="AV48" s="167">
        <f t="shared" si="12"/>
        <v>18517.88612</v>
      </c>
      <c r="AW48" s="167">
        <f t="shared" si="12"/>
        <v>19318.97677</v>
      </c>
      <c r="AX48" s="167">
        <f t="shared" si="12"/>
        <v>21417.18559</v>
      </c>
      <c r="AY48" s="167">
        <f t="shared" si="12"/>
        <v>22839.92857</v>
      </c>
      <c r="AZ48" s="167">
        <f t="shared" si="12"/>
        <v>24020.51084</v>
      </c>
      <c r="BA48" s="167">
        <f t="shared" si="12"/>
        <v>25265.24034</v>
      </c>
    </row>
    <row r="49" ht="14.25" customHeight="1"/>
    <row r="50" ht="14.25" customHeight="1">
      <c r="A50" s="8" t="s">
        <v>689</v>
      </c>
      <c r="B50" s="167">
        <f t="shared" ref="B50:BA50" si="13">B13+B18+B24+B30+B35+B40+B45+B48</f>
        <v>2075.333333</v>
      </c>
      <c r="C50" s="167">
        <f t="shared" si="13"/>
        <v>2075.333333</v>
      </c>
      <c r="D50" s="167">
        <f t="shared" si="13"/>
        <v>2075.333333</v>
      </c>
      <c r="E50" s="167">
        <f t="shared" si="13"/>
        <v>2075.333333</v>
      </c>
      <c r="F50" s="167">
        <f t="shared" si="13"/>
        <v>33133.33333</v>
      </c>
      <c r="G50" s="167">
        <f t="shared" si="13"/>
        <v>40947.33333</v>
      </c>
      <c r="H50" s="167">
        <f t="shared" si="13"/>
        <v>41611.53333</v>
      </c>
      <c r="I50" s="167">
        <f t="shared" si="13"/>
        <v>41611.53333</v>
      </c>
      <c r="J50" s="167">
        <f t="shared" si="13"/>
        <v>41611.53333</v>
      </c>
      <c r="K50" s="167">
        <f t="shared" si="13"/>
        <v>50230.53333</v>
      </c>
      <c r="L50" s="167">
        <f t="shared" si="13"/>
        <v>57997.06667</v>
      </c>
      <c r="M50" s="167">
        <f t="shared" si="13"/>
        <v>57997.06667</v>
      </c>
      <c r="N50" s="167">
        <f t="shared" si="13"/>
        <v>59350.22067</v>
      </c>
      <c r="O50" s="167">
        <f t="shared" si="13"/>
        <v>70071.58733</v>
      </c>
      <c r="P50" s="167">
        <f t="shared" si="13"/>
        <v>70071.58733</v>
      </c>
      <c r="Q50" s="167">
        <f t="shared" si="13"/>
        <v>70071.58733</v>
      </c>
      <c r="R50" s="167">
        <f t="shared" si="13"/>
        <v>130378.254</v>
      </c>
      <c r="S50" s="167">
        <f t="shared" si="13"/>
        <v>83133.55</v>
      </c>
      <c r="T50" s="167">
        <f t="shared" si="13"/>
        <v>102674.9487</v>
      </c>
      <c r="U50" s="167">
        <f t="shared" si="13"/>
        <v>104013.2847</v>
      </c>
      <c r="V50" s="167">
        <f t="shared" si="13"/>
        <v>114911.3307</v>
      </c>
      <c r="W50" s="167">
        <f t="shared" si="13"/>
        <v>123468.2307</v>
      </c>
      <c r="X50" s="167">
        <f t="shared" si="13"/>
        <v>130986.3267</v>
      </c>
      <c r="Y50" s="167">
        <f t="shared" si="13"/>
        <v>137041.356</v>
      </c>
      <c r="Z50" s="167">
        <f t="shared" si="13"/>
        <v>153652.4329</v>
      </c>
      <c r="AA50" s="167">
        <f t="shared" si="13"/>
        <v>156949.1948</v>
      </c>
      <c r="AB50" s="167">
        <f t="shared" si="13"/>
        <v>157486.1987</v>
      </c>
      <c r="AC50" s="167">
        <f t="shared" si="13"/>
        <v>157370.4025</v>
      </c>
      <c r="AD50" s="167">
        <f t="shared" si="13"/>
        <v>271687.9397</v>
      </c>
      <c r="AE50" s="167">
        <f t="shared" si="13"/>
        <v>177783.1592</v>
      </c>
      <c r="AF50" s="167">
        <f t="shared" si="13"/>
        <v>181039.0367</v>
      </c>
      <c r="AG50" s="167">
        <f t="shared" si="13"/>
        <v>186481.4562</v>
      </c>
      <c r="AH50" s="167">
        <f t="shared" si="13"/>
        <v>196663.5685</v>
      </c>
      <c r="AI50" s="167">
        <f t="shared" si="13"/>
        <v>196435.3832</v>
      </c>
      <c r="AJ50" s="167">
        <f t="shared" si="13"/>
        <v>201765.4136</v>
      </c>
      <c r="AK50" s="167">
        <f t="shared" si="13"/>
        <v>203422.9016</v>
      </c>
      <c r="AL50" s="167">
        <f t="shared" si="13"/>
        <v>208052.7147</v>
      </c>
      <c r="AM50" s="167">
        <f t="shared" si="13"/>
        <v>218156.5148</v>
      </c>
      <c r="AN50" s="167">
        <f t="shared" si="13"/>
        <v>223417.3184</v>
      </c>
      <c r="AO50" s="167">
        <f t="shared" si="13"/>
        <v>229315.3103</v>
      </c>
      <c r="AP50" s="167">
        <f t="shared" si="13"/>
        <v>352894.9463</v>
      </c>
      <c r="AQ50" s="167">
        <f t="shared" si="13"/>
        <v>264278.0505</v>
      </c>
      <c r="AR50" s="167">
        <f t="shared" si="13"/>
        <v>272098.3387</v>
      </c>
      <c r="AS50" s="167">
        <f t="shared" si="13"/>
        <v>279238.9188</v>
      </c>
      <c r="AT50" s="167">
        <f t="shared" si="13"/>
        <v>289164.5749</v>
      </c>
      <c r="AU50" s="167">
        <f t="shared" si="13"/>
        <v>297707.091</v>
      </c>
      <c r="AV50" s="167">
        <f t="shared" si="13"/>
        <v>306971.8352</v>
      </c>
      <c r="AW50" s="167">
        <f t="shared" si="13"/>
        <v>313183.7983</v>
      </c>
      <c r="AX50" s="167">
        <f t="shared" si="13"/>
        <v>327520.1934</v>
      </c>
      <c r="AY50" s="167">
        <f t="shared" si="13"/>
        <v>338631.1308</v>
      </c>
      <c r="AZ50" s="167">
        <f t="shared" si="13"/>
        <v>347686.1789</v>
      </c>
      <c r="BA50" s="167">
        <f t="shared" si="13"/>
        <v>357486.692</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c r="B90" s="7" t="s">
        <v>690</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0"/>
    <col customWidth="1" min="2" max="53" width="10.71"/>
  </cols>
  <sheetData>
    <row r="1" ht="14.25" customHeight="1">
      <c r="A1" s="151" t="s">
        <v>691</v>
      </c>
      <c r="AP1" s="65" t="s">
        <v>562</v>
      </c>
      <c r="AQ1" s="65"/>
      <c r="AR1" s="65" t="s">
        <v>563</v>
      </c>
      <c r="AS1" s="65"/>
      <c r="AT1" s="65"/>
      <c r="AU1" s="65"/>
      <c r="AV1" s="65"/>
      <c r="AW1" s="65"/>
      <c r="AX1" s="65"/>
      <c r="AY1" s="65"/>
      <c r="AZ1" s="65"/>
      <c r="BA1" s="65"/>
    </row>
    <row r="2" ht="14.25" customHeight="1">
      <c r="A2" s="8" t="s">
        <v>692</v>
      </c>
      <c r="B2" s="171" t="s">
        <v>519</v>
      </c>
      <c r="C2" s="171" t="s">
        <v>519</v>
      </c>
      <c r="D2" s="171" t="s">
        <v>519</v>
      </c>
      <c r="E2" s="171" t="s">
        <v>519</v>
      </c>
      <c r="F2" s="172" t="s">
        <v>501</v>
      </c>
      <c r="G2" s="172" t="s">
        <v>501</v>
      </c>
      <c r="H2" s="172" t="s">
        <v>501</v>
      </c>
      <c r="I2" s="172" t="s">
        <v>501</v>
      </c>
      <c r="J2" s="172" t="s">
        <v>501</v>
      </c>
      <c r="K2" s="172" t="s">
        <v>501</v>
      </c>
      <c r="L2" s="172" t="s">
        <v>501</v>
      </c>
      <c r="M2" s="172" t="s">
        <v>501</v>
      </c>
      <c r="N2" s="172" t="s">
        <v>501</v>
      </c>
      <c r="O2" s="172" t="s">
        <v>501</v>
      </c>
      <c r="P2" s="172" t="s">
        <v>501</v>
      </c>
      <c r="Q2" s="172" t="s">
        <v>501</v>
      </c>
      <c r="R2" s="173" t="s">
        <v>502</v>
      </c>
      <c r="S2" s="173" t="s">
        <v>502</v>
      </c>
      <c r="T2" s="173" t="s">
        <v>502</v>
      </c>
      <c r="U2" s="173" t="s">
        <v>502</v>
      </c>
      <c r="V2" s="173" t="s">
        <v>502</v>
      </c>
      <c r="W2" s="173" t="s">
        <v>502</v>
      </c>
      <c r="X2" s="173" t="s">
        <v>502</v>
      </c>
      <c r="Y2" s="173" t="s">
        <v>502</v>
      </c>
      <c r="Z2" s="173" t="s">
        <v>502</v>
      </c>
      <c r="AA2" s="173" t="s">
        <v>502</v>
      </c>
      <c r="AB2" s="173" t="s">
        <v>502</v>
      </c>
      <c r="AC2" s="173" t="s">
        <v>502</v>
      </c>
      <c r="AD2" s="174" t="s">
        <v>503</v>
      </c>
      <c r="AE2" s="174" t="s">
        <v>503</v>
      </c>
      <c r="AF2" s="174" t="s">
        <v>503</v>
      </c>
      <c r="AG2" s="174" t="s">
        <v>503</v>
      </c>
      <c r="AH2" s="174" t="s">
        <v>503</v>
      </c>
      <c r="AI2" s="174" t="s">
        <v>503</v>
      </c>
      <c r="AJ2" s="174" t="s">
        <v>503</v>
      </c>
      <c r="AK2" s="174" t="s">
        <v>503</v>
      </c>
      <c r="AL2" s="174" t="s">
        <v>503</v>
      </c>
      <c r="AM2" s="174" t="s">
        <v>503</v>
      </c>
      <c r="AN2" s="174" t="s">
        <v>503</v>
      </c>
      <c r="AO2" s="174" t="s">
        <v>503</v>
      </c>
      <c r="AP2" s="175" t="s">
        <v>504</v>
      </c>
      <c r="AQ2" s="175" t="s">
        <v>504</v>
      </c>
      <c r="AR2" s="175" t="s">
        <v>504</v>
      </c>
      <c r="AS2" s="175" t="s">
        <v>504</v>
      </c>
      <c r="AT2" s="175" t="s">
        <v>504</v>
      </c>
      <c r="AU2" s="175" t="s">
        <v>504</v>
      </c>
      <c r="AV2" s="175" t="s">
        <v>504</v>
      </c>
      <c r="AW2" s="175" t="s">
        <v>504</v>
      </c>
      <c r="AX2" s="175" t="s">
        <v>504</v>
      </c>
      <c r="AY2" s="175" t="s">
        <v>504</v>
      </c>
      <c r="AZ2" s="175" t="s">
        <v>504</v>
      </c>
      <c r="BA2" s="175" t="s">
        <v>504</v>
      </c>
    </row>
    <row r="3" ht="14.25" customHeight="1">
      <c r="A3" s="6" t="s">
        <v>693</v>
      </c>
      <c r="B3" s="6" t="s">
        <v>564</v>
      </c>
      <c r="C3" s="6" t="s">
        <v>565</v>
      </c>
      <c r="D3" s="6" t="s">
        <v>566</v>
      </c>
      <c r="E3" s="6"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ht="14.25" customHeight="1">
      <c r="A4" s="8" t="s">
        <v>694</v>
      </c>
    </row>
    <row r="5" ht="14.25" customHeight="1">
      <c r="A5" s="7" t="s">
        <v>695</v>
      </c>
      <c r="B5" s="167">
        <f>'4_Revenue'!B10+'4_Revenue'!B17</f>
        <v>0</v>
      </c>
      <c r="C5" s="167">
        <f>'4_Revenue'!C10+'4_Revenue'!C17</f>
        <v>0</v>
      </c>
      <c r="D5" s="167">
        <f>'4_Revenue'!D10+'4_Revenue'!D17</f>
        <v>0</v>
      </c>
      <c r="E5" s="167">
        <f>'4_Revenue'!E10+'4_Revenue'!E17</f>
        <v>0</v>
      </c>
      <c r="F5" s="167">
        <f>'4_Revenue'!F10+'4_Revenue'!F17</f>
        <v>0</v>
      </c>
      <c r="G5" s="167">
        <f>'4_Revenue'!G10+'4_Revenue'!G17</f>
        <v>0</v>
      </c>
      <c r="H5" s="167">
        <f>'4_Revenue'!H10+'4_Revenue'!H17</f>
        <v>2760</v>
      </c>
      <c r="I5" s="167">
        <f>'4_Revenue'!I10+'4_Revenue'!I17</f>
        <v>2760</v>
      </c>
      <c r="J5" s="167">
        <f>'4_Revenue'!J10+'4_Revenue'!J17</f>
        <v>2760</v>
      </c>
      <c r="K5" s="167">
        <f>'4_Revenue'!K10+'4_Revenue'!K17</f>
        <v>2760</v>
      </c>
      <c r="L5" s="167">
        <f>'4_Revenue'!L10+'4_Revenue'!L17</f>
        <v>5520</v>
      </c>
      <c r="M5" s="167">
        <f>'4_Revenue'!M10+'4_Revenue'!M17</f>
        <v>5520</v>
      </c>
      <c r="N5" s="167">
        <f>'4_Revenue'!N10+'4_Revenue'!N17</f>
        <v>8611.2</v>
      </c>
      <c r="O5" s="167">
        <f>'4_Revenue'!O10+'4_Revenue'!O17</f>
        <v>8611.2</v>
      </c>
      <c r="P5" s="167">
        <f>'4_Revenue'!P10+'4_Revenue'!P17</f>
        <v>8611.2</v>
      </c>
      <c r="Q5" s="167">
        <f>'4_Revenue'!Q10+'4_Revenue'!Q17</f>
        <v>8611.2</v>
      </c>
      <c r="R5" s="167">
        <f>'4_Revenue'!R10+'4_Revenue'!R17</f>
        <v>8611.2</v>
      </c>
      <c r="S5" s="167">
        <f>'4_Revenue'!S10+'4_Revenue'!S17</f>
        <v>21840</v>
      </c>
      <c r="T5" s="167">
        <f>'4_Revenue'!T10+'4_Revenue'!T17</f>
        <v>40809.6</v>
      </c>
      <c r="U5" s="167">
        <f>'4_Revenue'!U10+'4_Revenue'!U17</f>
        <v>46550.4</v>
      </c>
      <c r="V5" s="167">
        <f>'4_Revenue'!V10+'4_Revenue'!V17</f>
        <v>59779.2</v>
      </c>
      <c r="W5" s="167">
        <f>'4_Revenue'!W10+'4_Revenue'!W17</f>
        <v>59779.2</v>
      </c>
      <c r="X5" s="167">
        <f>'4_Revenue'!X10+'4_Revenue'!X17</f>
        <v>94848</v>
      </c>
      <c r="Y5" s="167">
        <f>'4_Revenue'!Y10+'4_Revenue'!Y17</f>
        <v>94296.8</v>
      </c>
      <c r="Z5" s="167">
        <f>'4_Revenue'!Z10+'4_Revenue'!Z17</f>
        <v>125584.576</v>
      </c>
      <c r="AA5" s="167">
        <f>'4_Revenue'!AA10+'4_Revenue'!AA17</f>
        <v>140845.952</v>
      </c>
      <c r="AB5" s="167">
        <f>'4_Revenue'!AB10+'4_Revenue'!AB17</f>
        <v>140272.704</v>
      </c>
      <c r="AC5" s="167">
        <f>'4_Revenue'!AC10+'4_Revenue'!AC17</f>
        <v>139699.456</v>
      </c>
      <c r="AD5" s="167">
        <f>'4_Revenue'!AD10+'4_Revenue'!AD17</f>
        <v>139126.208</v>
      </c>
      <c r="AE5" s="167">
        <f>'4_Revenue'!AE10+'4_Revenue'!AE17</f>
        <v>166068.864</v>
      </c>
      <c r="AF5" s="167">
        <f>'4_Revenue'!AF10+'4_Revenue'!AF17</f>
        <v>180421.696</v>
      </c>
      <c r="AG5" s="167">
        <f>'4_Revenue'!AG10+'4_Revenue'!AG17</f>
        <v>207364.352</v>
      </c>
      <c r="AH5" s="167">
        <f>'4_Revenue'!AH10+'4_Revenue'!AH17</f>
        <v>253126.848</v>
      </c>
      <c r="AI5" s="167">
        <f>'4_Revenue'!AI10+'4_Revenue'!AI17</f>
        <v>252056.064</v>
      </c>
      <c r="AJ5" s="167">
        <f>'4_Revenue'!AJ10+'4_Revenue'!AJ17</f>
        <v>278501.184</v>
      </c>
      <c r="AK5" s="167">
        <f>'4_Revenue'!AK10+'4_Revenue'!AK17</f>
        <v>282827.584</v>
      </c>
      <c r="AL5" s="167">
        <f>'4_Revenue'!AL10+'4_Revenue'!AL17</f>
        <v>301744.768</v>
      </c>
      <c r="AM5" s="167">
        <f>'4_Revenue'!AM10+'4_Revenue'!AM17</f>
        <v>352273.6589</v>
      </c>
      <c r="AN5" s="167">
        <f>'4_Revenue'!AN10+'4_Revenue'!AN17</f>
        <v>379180.4058</v>
      </c>
      <c r="AO5" s="167">
        <f>'4_Revenue'!AO10+'4_Revenue'!AO17</f>
        <v>408246.8915</v>
      </c>
      <c r="AP5" s="167">
        <f>'4_Revenue'!AP10+'4_Revenue'!AP17</f>
        <v>447572.137</v>
      </c>
      <c r="AQ5" s="167">
        <f>'4_Revenue'!AQ10+'4_Revenue'!AQ17</f>
        <v>497156.1421</v>
      </c>
      <c r="AR5" s="167">
        <f>'4_Revenue'!AR10+'4_Revenue'!AR17</f>
        <v>534940.3238</v>
      </c>
      <c r="AS5" s="167">
        <f>'4_Revenue'!AS10+'4_Revenue'!AS17</f>
        <v>569619.881</v>
      </c>
      <c r="AT5" s="167">
        <f>'4_Revenue'!AT10+'4_Revenue'!AT17</f>
        <v>615503.0835</v>
      </c>
      <c r="AU5" s="167">
        <f>'4_Revenue'!AU10+'4_Revenue'!AU17</f>
        <v>657336.7757</v>
      </c>
      <c r="AV5" s="167">
        <f>'4_Revenue'!AV10+'4_Revenue'!AV17</f>
        <v>703219.9782</v>
      </c>
      <c r="AW5" s="167">
        <f>'4_Revenue'!AW10+'4_Revenue'!AW17</f>
        <v>730576.6707</v>
      </c>
      <c r="AX5" s="167">
        <f>'4_Revenue'!AX10+'4_Revenue'!AX17</f>
        <v>812817.7275</v>
      </c>
      <c r="AY5" s="167">
        <f>'4_Revenue'!AY10+'4_Revenue'!AY17</f>
        <v>864853.0362</v>
      </c>
      <c r="AZ5" s="167">
        <f>'4_Revenue'!AZ10+'4_Revenue'!AZ17</f>
        <v>907201.9161</v>
      </c>
      <c r="BA5" s="167">
        <f>'4_Revenue'!BA10+'4_Revenue'!BA17</f>
        <v>956991.0964</v>
      </c>
    </row>
    <row r="6" ht="14.25" customHeight="1">
      <c r="A6" s="7" t="s">
        <v>696</v>
      </c>
      <c r="B6" s="167">
        <f>'4_Revenue'!B23</f>
        <v>0</v>
      </c>
      <c r="C6" s="167">
        <f>'4_Revenue'!C23</f>
        <v>0</v>
      </c>
      <c r="D6" s="167">
        <f>'4_Revenue'!D23</f>
        <v>0</v>
      </c>
      <c r="E6" s="167">
        <f>'4_Revenue'!E23</f>
        <v>0</v>
      </c>
      <c r="F6" s="167">
        <f>'4_Revenue'!F23</f>
        <v>0</v>
      </c>
      <c r="G6" s="167">
        <f>'4_Revenue'!G23</f>
        <v>0</v>
      </c>
      <c r="H6" s="167">
        <f>'4_Revenue'!H23</f>
        <v>0</v>
      </c>
      <c r="I6" s="167">
        <f>'4_Revenue'!I23</f>
        <v>0</v>
      </c>
      <c r="J6" s="167">
        <f>'4_Revenue'!J23</f>
        <v>0</v>
      </c>
      <c r="K6" s="167">
        <f>'4_Revenue'!K23</f>
        <v>0</v>
      </c>
      <c r="L6" s="167">
        <f>'4_Revenue'!L23</f>
        <v>0</v>
      </c>
      <c r="M6" s="167">
        <f>'4_Revenue'!M23</f>
        <v>0</v>
      </c>
      <c r="N6" s="167">
        <f>'4_Revenue'!N23</f>
        <v>0</v>
      </c>
      <c r="O6" s="167">
        <f>'4_Revenue'!O23</f>
        <v>0</v>
      </c>
      <c r="P6" s="167">
        <f>'4_Revenue'!P23</f>
        <v>0</v>
      </c>
      <c r="Q6" s="167">
        <f>'4_Revenue'!Q23</f>
        <v>0</v>
      </c>
      <c r="R6" s="167">
        <f>'4_Revenue'!R23</f>
        <v>0</v>
      </c>
      <c r="S6" s="167">
        <f>'4_Revenue'!S23</f>
        <v>0</v>
      </c>
      <c r="T6" s="167">
        <f>'4_Revenue'!T23</f>
        <v>0</v>
      </c>
      <c r="U6" s="167">
        <f>'4_Revenue'!U23</f>
        <v>0</v>
      </c>
      <c r="V6" s="167">
        <f>'4_Revenue'!V23</f>
        <v>0</v>
      </c>
      <c r="W6" s="167">
        <f>'4_Revenue'!W23</f>
        <v>0</v>
      </c>
      <c r="X6" s="167">
        <f>'4_Revenue'!X23</f>
        <v>0</v>
      </c>
      <c r="Y6" s="167">
        <f>'4_Revenue'!Y23</f>
        <v>4333.333333</v>
      </c>
      <c r="Z6" s="167">
        <f>'4_Revenue'!Z23</f>
        <v>4506.666667</v>
      </c>
      <c r="AA6" s="167">
        <f>'4_Revenue'!AA23</f>
        <v>4506.666667</v>
      </c>
      <c r="AB6" s="167">
        <f>'4_Revenue'!AB23</f>
        <v>9013.333333</v>
      </c>
      <c r="AC6" s="167">
        <f>'4_Revenue'!AC23</f>
        <v>9013.333333</v>
      </c>
      <c r="AD6" s="167">
        <f>'4_Revenue'!AD23</f>
        <v>9013.333333</v>
      </c>
      <c r="AE6" s="167">
        <f>'4_Revenue'!AE23</f>
        <v>13520</v>
      </c>
      <c r="AF6" s="167">
        <f>'4_Revenue'!AF23</f>
        <v>13520</v>
      </c>
      <c r="AG6" s="167">
        <f>'4_Revenue'!AG23</f>
        <v>13520</v>
      </c>
      <c r="AH6" s="167">
        <f>'4_Revenue'!AH23</f>
        <v>18026.66667</v>
      </c>
      <c r="AI6" s="167">
        <f>'4_Revenue'!AI23</f>
        <v>18026.66667</v>
      </c>
      <c r="AJ6" s="167">
        <f>'4_Revenue'!AJ23</f>
        <v>18026.66667</v>
      </c>
      <c r="AK6" s="167">
        <f>'4_Revenue'!AK23</f>
        <v>22533.33333</v>
      </c>
      <c r="AL6" s="167">
        <f>'4_Revenue'!AL23</f>
        <v>23434.66667</v>
      </c>
      <c r="AM6" s="167">
        <f>'4_Revenue'!AM23</f>
        <v>23434.66667</v>
      </c>
      <c r="AN6" s="167">
        <f>'4_Revenue'!AN23</f>
        <v>23434.66667</v>
      </c>
      <c r="AO6" s="167">
        <f>'4_Revenue'!AO23</f>
        <v>23434.66667</v>
      </c>
      <c r="AP6" s="167">
        <f>'4_Revenue'!AP23</f>
        <v>23434.66667</v>
      </c>
      <c r="AQ6" s="167">
        <f>'4_Revenue'!AQ23</f>
        <v>32808.53333</v>
      </c>
      <c r="AR6" s="167">
        <f>'4_Revenue'!AR23</f>
        <v>32808.53333</v>
      </c>
      <c r="AS6" s="167">
        <f>'4_Revenue'!AS23</f>
        <v>32808.53333</v>
      </c>
      <c r="AT6" s="167">
        <f>'4_Revenue'!AT23</f>
        <v>37495.46667</v>
      </c>
      <c r="AU6" s="167">
        <f>'4_Revenue'!AU23</f>
        <v>37495.46667</v>
      </c>
      <c r="AV6" s="167">
        <f>'4_Revenue'!AV23</f>
        <v>37495.46667</v>
      </c>
      <c r="AW6" s="167">
        <f>'4_Revenue'!AW23</f>
        <v>42182.4</v>
      </c>
      <c r="AX6" s="167">
        <f>'4_Revenue'!AX23</f>
        <v>43869.696</v>
      </c>
      <c r="AY6" s="167">
        <f>'4_Revenue'!AY23</f>
        <v>48744.10667</v>
      </c>
      <c r="AZ6" s="167">
        <f>'4_Revenue'!AZ23</f>
        <v>53618.51733</v>
      </c>
      <c r="BA6" s="167">
        <f>'4_Revenue'!BA23</f>
        <v>53618.51733</v>
      </c>
    </row>
    <row r="7" ht="14.25" customHeight="1">
      <c r="A7" s="7" t="s">
        <v>697</v>
      </c>
      <c r="B7" s="167">
        <f>'4_Revenue'!B30</f>
        <v>0</v>
      </c>
      <c r="C7" s="167">
        <f>'4_Revenue'!C30</f>
        <v>0</v>
      </c>
      <c r="D7" s="167">
        <f>'4_Revenue'!D30</f>
        <v>0</v>
      </c>
      <c r="E7" s="167">
        <f>'4_Revenue'!E30</f>
        <v>0</v>
      </c>
      <c r="F7" s="167">
        <f>'4_Revenue'!F30</f>
        <v>0</v>
      </c>
      <c r="G7" s="167">
        <f>'4_Revenue'!G30</f>
        <v>0</v>
      </c>
      <c r="H7" s="167">
        <f>'4_Revenue'!H30</f>
        <v>30000</v>
      </c>
      <c r="I7" s="167">
        <f>'4_Revenue'!I30</f>
        <v>0</v>
      </c>
      <c r="J7" s="167">
        <f>'4_Revenue'!J30</f>
        <v>0</v>
      </c>
      <c r="K7" s="167">
        <f>'4_Revenue'!K30</f>
        <v>0</v>
      </c>
      <c r="L7" s="167">
        <f>'4_Revenue'!L30</f>
        <v>30000</v>
      </c>
      <c r="M7" s="167">
        <f>'4_Revenue'!M30</f>
        <v>0</v>
      </c>
      <c r="N7" s="167">
        <f>'4_Revenue'!N30</f>
        <v>30000</v>
      </c>
      <c r="O7" s="167">
        <f>'4_Revenue'!O30</f>
        <v>0</v>
      </c>
      <c r="P7" s="167">
        <f>'4_Revenue'!P30</f>
        <v>0</v>
      </c>
      <c r="Q7" s="167">
        <f>'4_Revenue'!Q30</f>
        <v>0</v>
      </c>
      <c r="R7" s="167">
        <f>'4_Revenue'!R30</f>
        <v>0</v>
      </c>
      <c r="S7" s="167">
        <f>'4_Revenue'!S30</f>
        <v>60000</v>
      </c>
      <c r="T7" s="167">
        <f>'4_Revenue'!T30</f>
        <v>120000</v>
      </c>
      <c r="U7" s="167">
        <f>'4_Revenue'!U30</f>
        <v>60000</v>
      </c>
      <c r="V7" s="167">
        <f>'4_Revenue'!V30</f>
        <v>60000</v>
      </c>
      <c r="W7" s="167">
        <f>'4_Revenue'!W30</f>
        <v>0</v>
      </c>
      <c r="X7" s="167">
        <f>'4_Revenue'!X30</f>
        <v>210000</v>
      </c>
      <c r="Y7" s="167">
        <f>'4_Revenue'!Y30</f>
        <v>30000</v>
      </c>
      <c r="Z7" s="167">
        <f>'4_Revenue'!Z30</f>
        <v>120000</v>
      </c>
      <c r="AA7" s="167">
        <f>'4_Revenue'!AA30</f>
        <v>120000</v>
      </c>
      <c r="AB7" s="167">
        <f>'4_Revenue'!AB30</f>
        <v>30000</v>
      </c>
      <c r="AC7" s="167">
        <f>'4_Revenue'!AC30</f>
        <v>0</v>
      </c>
      <c r="AD7" s="167">
        <f>'4_Revenue'!AD30</f>
        <v>0</v>
      </c>
      <c r="AE7" s="167">
        <f>'4_Revenue'!AE30</f>
        <v>150000</v>
      </c>
      <c r="AF7" s="167">
        <f>'4_Revenue'!AF30</f>
        <v>150000</v>
      </c>
      <c r="AG7" s="167">
        <f>'4_Revenue'!AG30</f>
        <v>120000</v>
      </c>
      <c r="AH7" s="167">
        <f>'4_Revenue'!AH30</f>
        <v>300000</v>
      </c>
      <c r="AI7" s="167">
        <f>'4_Revenue'!AI30</f>
        <v>0</v>
      </c>
      <c r="AJ7" s="167">
        <f>'4_Revenue'!AJ30</f>
        <v>120000</v>
      </c>
      <c r="AK7" s="167">
        <f>'4_Revenue'!AK30</f>
        <v>90000</v>
      </c>
      <c r="AL7" s="167">
        <f>'4_Revenue'!AL30</f>
        <v>90000</v>
      </c>
      <c r="AM7" s="167">
        <f>'4_Revenue'!AM30</f>
        <v>270000</v>
      </c>
      <c r="AN7" s="167">
        <f>'4_Revenue'!AN30</f>
        <v>120000</v>
      </c>
      <c r="AO7" s="167">
        <f>'4_Revenue'!AO30</f>
        <v>180000</v>
      </c>
      <c r="AP7" s="167">
        <f>'4_Revenue'!AP30</f>
        <v>240000</v>
      </c>
      <c r="AQ7" s="167">
        <f>'4_Revenue'!AQ30</f>
        <v>360000</v>
      </c>
      <c r="AR7" s="167">
        <f>'4_Revenue'!AR30</f>
        <v>270000</v>
      </c>
      <c r="AS7" s="167">
        <f>'4_Revenue'!AS30</f>
        <v>240000</v>
      </c>
      <c r="AT7" s="167">
        <f>'4_Revenue'!AT30</f>
        <v>300000</v>
      </c>
      <c r="AU7" s="167">
        <f>'4_Revenue'!AU30</f>
        <v>270000</v>
      </c>
      <c r="AV7" s="167">
        <f>'4_Revenue'!AV30</f>
        <v>270000</v>
      </c>
      <c r="AW7" s="167">
        <f>'4_Revenue'!AW30</f>
        <v>210000</v>
      </c>
      <c r="AX7" s="167">
        <f>'4_Revenue'!AX30</f>
        <v>330000</v>
      </c>
      <c r="AY7" s="167">
        <f>'4_Revenue'!AY30</f>
        <v>390000</v>
      </c>
      <c r="AZ7" s="167">
        <f>'4_Revenue'!AZ30</f>
        <v>300000</v>
      </c>
      <c r="BA7" s="167">
        <f>'4_Revenue'!BA30</f>
        <v>300000</v>
      </c>
    </row>
    <row r="8" ht="14.25" customHeight="1">
      <c r="A8" s="8" t="s">
        <v>698</v>
      </c>
      <c r="B8" s="166">
        <f t="shared" ref="B8:BA8" si="1">SUM(B5:B7)</f>
        <v>0</v>
      </c>
      <c r="C8" s="166">
        <f t="shared" si="1"/>
        <v>0</v>
      </c>
      <c r="D8" s="166">
        <f t="shared" si="1"/>
        <v>0</v>
      </c>
      <c r="E8" s="166">
        <f t="shared" si="1"/>
        <v>0</v>
      </c>
      <c r="F8" s="166">
        <f t="shared" si="1"/>
        <v>0</v>
      </c>
      <c r="G8" s="166">
        <f t="shared" si="1"/>
        <v>0</v>
      </c>
      <c r="H8" s="166">
        <f t="shared" si="1"/>
        <v>32760</v>
      </c>
      <c r="I8" s="166">
        <f t="shared" si="1"/>
        <v>2760</v>
      </c>
      <c r="J8" s="166">
        <f t="shared" si="1"/>
        <v>2760</v>
      </c>
      <c r="K8" s="166">
        <f t="shared" si="1"/>
        <v>2760</v>
      </c>
      <c r="L8" s="166">
        <f t="shared" si="1"/>
        <v>35520</v>
      </c>
      <c r="M8" s="166">
        <f t="shared" si="1"/>
        <v>5520</v>
      </c>
      <c r="N8" s="166">
        <f t="shared" si="1"/>
        <v>38611.2</v>
      </c>
      <c r="O8" s="166">
        <f t="shared" si="1"/>
        <v>8611.2</v>
      </c>
      <c r="P8" s="166">
        <f t="shared" si="1"/>
        <v>8611.2</v>
      </c>
      <c r="Q8" s="166">
        <f t="shared" si="1"/>
        <v>8611.2</v>
      </c>
      <c r="R8" s="166">
        <f t="shared" si="1"/>
        <v>8611.2</v>
      </c>
      <c r="S8" s="166">
        <f t="shared" si="1"/>
        <v>81840</v>
      </c>
      <c r="T8" s="166">
        <f t="shared" si="1"/>
        <v>160809.6</v>
      </c>
      <c r="U8" s="166">
        <f t="shared" si="1"/>
        <v>106550.4</v>
      </c>
      <c r="V8" s="166">
        <f t="shared" si="1"/>
        <v>119779.2</v>
      </c>
      <c r="W8" s="166">
        <f t="shared" si="1"/>
        <v>59779.2</v>
      </c>
      <c r="X8" s="166">
        <f t="shared" si="1"/>
        <v>304848</v>
      </c>
      <c r="Y8" s="166">
        <f t="shared" si="1"/>
        <v>128630.1333</v>
      </c>
      <c r="Z8" s="166">
        <f t="shared" si="1"/>
        <v>250091.2427</v>
      </c>
      <c r="AA8" s="166">
        <f t="shared" si="1"/>
        <v>265352.6187</v>
      </c>
      <c r="AB8" s="166">
        <f t="shared" si="1"/>
        <v>179286.0373</v>
      </c>
      <c r="AC8" s="166">
        <f t="shared" si="1"/>
        <v>148712.7893</v>
      </c>
      <c r="AD8" s="166">
        <f t="shared" si="1"/>
        <v>148139.5413</v>
      </c>
      <c r="AE8" s="166">
        <f t="shared" si="1"/>
        <v>329588.864</v>
      </c>
      <c r="AF8" s="166">
        <f t="shared" si="1"/>
        <v>343941.696</v>
      </c>
      <c r="AG8" s="166">
        <f t="shared" si="1"/>
        <v>340884.352</v>
      </c>
      <c r="AH8" s="166">
        <f t="shared" si="1"/>
        <v>571153.5147</v>
      </c>
      <c r="AI8" s="166">
        <f t="shared" si="1"/>
        <v>270082.7307</v>
      </c>
      <c r="AJ8" s="166">
        <f t="shared" si="1"/>
        <v>416527.8507</v>
      </c>
      <c r="AK8" s="166">
        <f t="shared" si="1"/>
        <v>395360.9173</v>
      </c>
      <c r="AL8" s="166">
        <f t="shared" si="1"/>
        <v>415179.4347</v>
      </c>
      <c r="AM8" s="166">
        <f t="shared" si="1"/>
        <v>645708.3255</v>
      </c>
      <c r="AN8" s="166">
        <f t="shared" si="1"/>
        <v>522615.0724</v>
      </c>
      <c r="AO8" s="166">
        <f t="shared" si="1"/>
        <v>611681.5582</v>
      </c>
      <c r="AP8" s="166">
        <f t="shared" si="1"/>
        <v>711006.8036</v>
      </c>
      <c r="AQ8" s="166">
        <f t="shared" si="1"/>
        <v>889964.6754</v>
      </c>
      <c r="AR8" s="166">
        <f t="shared" si="1"/>
        <v>837748.8572</v>
      </c>
      <c r="AS8" s="166">
        <f t="shared" si="1"/>
        <v>842428.4143</v>
      </c>
      <c r="AT8" s="166">
        <f t="shared" si="1"/>
        <v>952998.5502</v>
      </c>
      <c r="AU8" s="166">
        <f t="shared" si="1"/>
        <v>964832.2423</v>
      </c>
      <c r="AV8" s="166">
        <f t="shared" si="1"/>
        <v>1010715.445</v>
      </c>
      <c r="AW8" s="166">
        <f t="shared" si="1"/>
        <v>982759.0707</v>
      </c>
      <c r="AX8" s="166">
        <f t="shared" si="1"/>
        <v>1186687.423</v>
      </c>
      <c r="AY8" s="166">
        <f t="shared" si="1"/>
        <v>1303597.143</v>
      </c>
      <c r="AZ8" s="166">
        <f t="shared" si="1"/>
        <v>1260820.433</v>
      </c>
      <c r="BA8" s="166">
        <f t="shared" si="1"/>
        <v>1310609.614</v>
      </c>
    </row>
    <row r="9" ht="14.25" customHeight="1"/>
    <row r="10" ht="14.25" customHeight="1">
      <c r="A10" s="7" t="s">
        <v>699</v>
      </c>
    </row>
    <row r="11" ht="14.25" customHeight="1">
      <c r="A11" s="8" t="s">
        <v>700</v>
      </c>
      <c r="B11" s="167">
        <f>'5_Costs'!B15</f>
        <v>0</v>
      </c>
      <c r="C11" s="167">
        <f>'5_Costs'!C15</f>
        <v>0</v>
      </c>
      <c r="D11" s="167">
        <f>'5_Costs'!D15</f>
        <v>0</v>
      </c>
      <c r="E11" s="167">
        <f>'5_Costs'!E15</f>
        <v>0</v>
      </c>
      <c r="F11" s="167">
        <f>'5_Costs'!F15</f>
        <v>0</v>
      </c>
      <c r="G11" s="167">
        <f>'5_Costs'!G15</f>
        <v>0</v>
      </c>
      <c r="H11" s="167">
        <f>'5_Costs'!H15</f>
        <v>540</v>
      </c>
      <c r="I11" s="167">
        <f>'5_Costs'!I15</f>
        <v>540</v>
      </c>
      <c r="J11" s="167">
        <f>'5_Costs'!J15</f>
        <v>540</v>
      </c>
      <c r="K11" s="167">
        <f>'5_Costs'!K15</f>
        <v>540</v>
      </c>
      <c r="L11" s="167">
        <f>'5_Costs'!L15</f>
        <v>1080</v>
      </c>
      <c r="M11" s="167">
        <f>'5_Costs'!M15</f>
        <v>1080</v>
      </c>
      <c r="N11" s="167">
        <f>'5_Costs'!N15</f>
        <v>1620</v>
      </c>
      <c r="O11" s="167">
        <f>'5_Costs'!O15</f>
        <v>1620</v>
      </c>
      <c r="P11" s="167">
        <f>'5_Costs'!P15</f>
        <v>1620</v>
      </c>
      <c r="Q11" s="167">
        <f>'5_Costs'!Q15</f>
        <v>1620</v>
      </c>
      <c r="R11" s="167">
        <f>'5_Costs'!R15</f>
        <v>1620</v>
      </c>
      <c r="S11" s="167">
        <f>'5_Costs'!S15</f>
        <v>3780</v>
      </c>
      <c r="T11" s="167">
        <f>'5_Costs'!T15</f>
        <v>7020</v>
      </c>
      <c r="U11" s="167">
        <f>'5_Costs'!U15</f>
        <v>8100</v>
      </c>
      <c r="V11" s="167">
        <f>'5_Costs'!V15</f>
        <v>10260</v>
      </c>
      <c r="W11" s="167">
        <f>'5_Costs'!W15</f>
        <v>10260</v>
      </c>
      <c r="X11" s="167">
        <f>'5_Costs'!X15</f>
        <v>16200</v>
      </c>
      <c r="Y11" s="167">
        <f>'5_Costs'!Y15</f>
        <v>16560</v>
      </c>
      <c r="Z11" s="167">
        <f>'5_Costs'!Z15</f>
        <v>20880</v>
      </c>
      <c r="AA11" s="167">
        <f>'5_Costs'!AA15</f>
        <v>23490</v>
      </c>
      <c r="AB11" s="167">
        <f>'5_Costs'!AB15</f>
        <v>23850</v>
      </c>
      <c r="AC11" s="167">
        <f>'5_Costs'!AC15</f>
        <v>23760</v>
      </c>
      <c r="AD11" s="167">
        <f>'5_Costs'!AD15</f>
        <v>23670</v>
      </c>
      <c r="AE11" s="167">
        <f>'5_Costs'!AE15</f>
        <v>28350</v>
      </c>
      <c r="AF11" s="167">
        <f>'5_Costs'!AF15</f>
        <v>30960</v>
      </c>
      <c r="AG11" s="167">
        <f>'5_Costs'!AG15</f>
        <v>35190</v>
      </c>
      <c r="AH11" s="167">
        <f>'5_Costs'!AH15</f>
        <v>43110</v>
      </c>
      <c r="AI11" s="167">
        <f>'5_Costs'!AI15</f>
        <v>42930</v>
      </c>
      <c r="AJ11" s="167">
        <f>'5_Costs'!AJ15</f>
        <v>47070</v>
      </c>
      <c r="AK11" s="167">
        <f>'5_Costs'!AK15</f>
        <v>48330</v>
      </c>
      <c r="AL11" s="167">
        <f>'5_Costs'!AL15</f>
        <v>49680</v>
      </c>
      <c r="AM11" s="167">
        <f>'5_Costs'!AM15</f>
        <v>57510</v>
      </c>
      <c r="AN11" s="167">
        <f>'5_Costs'!AN15</f>
        <v>61560</v>
      </c>
      <c r="AO11" s="167">
        <f>'5_Costs'!AO15</f>
        <v>66150</v>
      </c>
      <c r="AP11" s="167">
        <f>'5_Costs'!AP15</f>
        <v>72360</v>
      </c>
      <c r="AQ11" s="167">
        <f>'5_Costs'!AQ15</f>
        <v>81090</v>
      </c>
      <c r="AR11" s="167">
        <f>'5_Costs'!AR15</f>
        <v>87210</v>
      </c>
      <c r="AS11" s="167">
        <f>'5_Costs'!AS15</f>
        <v>92790</v>
      </c>
      <c r="AT11" s="167">
        <f>'5_Costs'!AT15</f>
        <v>100440</v>
      </c>
      <c r="AU11" s="167">
        <f>'5_Costs'!AU15</f>
        <v>107100</v>
      </c>
      <c r="AV11" s="167">
        <f>'5_Costs'!AV15</f>
        <v>114300</v>
      </c>
      <c r="AW11" s="167">
        <f>'5_Costs'!AW15</f>
        <v>119070</v>
      </c>
      <c r="AX11" s="167">
        <f>'5_Costs'!AX15</f>
        <v>127170</v>
      </c>
      <c r="AY11" s="167">
        <f>'5_Costs'!AY15</f>
        <v>135720</v>
      </c>
      <c r="AZ11" s="167">
        <f>'5_Costs'!AZ15</f>
        <v>142650</v>
      </c>
      <c r="BA11" s="167">
        <f>'5_Costs'!BA15</f>
        <v>150210</v>
      </c>
    </row>
    <row r="12" ht="14.25" customHeight="1">
      <c r="A12" s="7" t="s">
        <v>701</v>
      </c>
      <c r="B12" s="167">
        <f>'5_Costs'!B16</f>
        <v>0</v>
      </c>
      <c r="C12" s="167">
        <f>'5_Costs'!C16</f>
        <v>0</v>
      </c>
      <c r="D12" s="167">
        <f>'5_Costs'!D16</f>
        <v>0</v>
      </c>
      <c r="E12" s="167">
        <f>'5_Costs'!E16</f>
        <v>0</v>
      </c>
      <c r="F12" s="167">
        <f>'5_Costs'!F16</f>
        <v>300</v>
      </c>
      <c r="G12" s="167">
        <f>'5_Costs'!G16</f>
        <v>400</v>
      </c>
      <c r="H12" s="167">
        <f>'5_Costs'!H16</f>
        <v>400</v>
      </c>
      <c r="I12" s="167">
        <f>'5_Costs'!I16</f>
        <v>400</v>
      </c>
      <c r="J12" s="167">
        <f>'5_Costs'!J16</f>
        <v>400</v>
      </c>
      <c r="K12" s="167">
        <f>'5_Costs'!K16</f>
        <v>500</v>
      </c>
      <c r="L12" s="167">
        <f>'5_Costs'!L16</f>
        <v>600</v>
      </c>
      <c r="M12" s="167">
        <f>'5_Costs'!M16</f>
        <v>600</v>
      </c>
      <c r="N12" s="167">
        <f>'5_Costs'!N16</f>
        <v>600</v>
      </c>
      <c r="O12" s="167">
        <f>'5_Costs'!O16</f>
        <v>800</v>
      </c>
      <c r="P12" s="167">
        <f>'5_Costs'!P16</f>
        <v>800</v>
      </c>
      <c r="Q12" s="167">
        <f>'5_Costs'!Q16</f>
        <v>800</v>
      </c>
      <c r="R12" s="167">
        <f>'5_Costs'!R16</f>
        <v>1600</v>
      </c>
      <c r="S12" s="167">
        <f>'5_Costs'!S16</f>
        <v>1600</v>
      </c>
      <c r="T12" s="167">
        <f>'5_Costs'!T16</f>
        <v>2000</v>
      </c>
      <c r="U12" s="167">
        <f>'5_Costs'!U16</f>
        <v>2000</v>
      </c>
      <c r="V12" s="167">
        <f>'5_Costs'!V16</f>
        <v>2200</v>
      </c>
      <c r="W12" s="167">
        <f>'5_Costs'!W16</f>
        <v>2400</v>
      </c>
      <c r="X12" s="167">
        <f>'5_Costs'!X16</f>
        <v>2400</v>
      </c>
      <c r="Y12" s="167">
        <f>'5_Costs'!Y16</f>
        <v>2600</v>
      </c>
      <c r="Z12" s="167">
        <f>'5_Costs'!Z16</f>
        <v>2800</v>
      </c>
      <c r="AA12" s="167">
        <f>'5_Costs'!AA16</f>
        <v>2800</v>
      </c>
      <c r="AB12" s="167">
        <f>'5_Costs'!AB16</f>
        <v>2800</v>
      </c>
      <c r="AC12" s="167">
        <f>'5_Costs'!AC16</f>
        <v>2800</v>
      </c>
      <c r="AD12" s="167">
        <f>'5_Costs'!AD16</f>
        <v>3500</v>
      </c>
      <c r="AE12" s="167">
        <f>'5_Costs'!AE16</f>
        <v>3500</v>
      </c>
      <c r="AF12" s="167">
        <f>'5_Costs'!AF16</f>
        <v>3500</v>
      </c>
      <c r="AG12" s="167">
        <f>'5_Costs'!AG16</f>
        <v>3500</v>
      </c>
      <c r="AH12" s="167">
        <f>'5_Costs'!AH16</f>
        <v>3500</v>
      </c>
      <c r="AI12" s="167">
        <f>'5_Costs'!AI16</f>
        <v>3500</v>
      </c>
      <c r="AJ12" s="167">
        <f>'5_Costs'!AJ16</f>
        <v>3500</v>
      </c>
      <c r="AK12" s="167">
        <f>'5_Costs'!AK16</f>
        <v>3500</v>
      </c>
      <c r="AL12" s="167">
        <f>'5_Costs'!AL16</f>
        <v>3500</v>
      </c>
      <c r="AM12" s="167">
        <f>'5_Costs'!AM16</f>
        <v>3500</v>
      </c>
      <c r="AN12" s="167">
        <f>'5_Costs'!AN16</f>
        <v>3500</v>
      </c>
      <c r="AO12" s="167">
        <f>'5_Costs'!AO16</f>
        <v>3500</v>
      </c>
      <c r="AP12" s="167">
        <f>'5_Costs'!AP16</f>
        <v>4200</v>
      </c>
      <c r="AQ12" s="167">
        <f>'5_Costs'!AQ16</f>
        <v>4200</v>
      </c>
      <c r="AR12" s="167">
        <f>'5_Costs'!AR16</f>
        <v>4200</v>
      </c>
      <c r="AS12" s="167">
        <f>'5_Costs'!AS16</f>
        <v>4200</v>
      </c>
      <c r="AT12" s="167">
        <f>'5_Costs'!AT16</f>
        <v>4200</v>
      </c>
      <c r="AU12" s="167">
        <f>'5_Costs'!AU16</f>
        <v>4200</v>
      </c>
      <c r="AV12" s="167">
        <f>'5_Costs'!AV16</f>
        <v>4200</v>
      </c>
      <c r="AW12" s="167">
        <f>'5_Costs'!AW16</f>
        <v>4200</v>
      </c>
      <c r="AX12" s="167">
        <f>'5_Costs'!AX16</f>
        <v>4200</v>
      </c>
      <c r="AY12" s="167">
        <f>'5_Costs'!AY16</f>
        <v>4200</v>
      </c>
      <c r="AZ12" s="167">
        <f>'5_Costs'!AZ16</f>
        <v>4200</v>
      </c>
      <c r="BA12" s="167">
        <f>'5_Costs'!BA16</f>
        <v>4200</v>
      </c>
    </row>
    <row r="13" ht="14.25" customHeight="1">
      <c r="A13" s="7" t="s">
        <v>457</v>
      </c>
      <c r="B13" s="167">
        <f>'5_Costs'!B47</f>
        <v>0</v>
      </c>
      <c r="C13" s="167">
        <f>'5_Costs'!C47</f>
        <v>0</v>
      </c>
      <c r="D13" s="167">
        <f>'5_Costs'!D47</f>
        <v>0</v>
      </c>
      <c r="E13" s="167">
        <f>'5_Costs'!E47</f>
        <v>0</v>
      </c>
      <c r="F13" s="167">
        <f>'5_Costs'!F47</f>
        <v>0</v>
      </c>
      <c r="G13" s="167">
        <f>'5_Costs'!G47</f>
        <v>0</v>
      </c>
      <c r="H13" s="167">
        <f>'5_Costs'!H47</f>
        <v>69</v>
      </c>
      <c r="I13" s="167">
        <f>'5_Costs'!I47</f>
        <v>69</v>
      </c>
      <c r="J13" s="167">
        <f>'5_Costs'!J47</f>
        <v>69</v>
      </c>
      <c r="K13" s="167">
        <f>'5_Costs'!K47</f>
        <v>69</v>
      </c>
      <c r="L13" s="167">
        <f>'5_Costs'!L47</f>
        <v>138</v>
      </c>
      <c r="M13" s="167">
        <f>'5_Costs'!M47</f>
        <v>138</v>
      </c>
      <c r="N13" s="167">
        <f>'5_Costs'!N47</f>
        <v>215.28</v>
      </c>
      <c r="O13" s="167">
        <f>'5_Costs'!O47</f>
        <v>215.28</v>
      </c>
      <c r="P13" s="167">
        <f>'5_Costs'!P47</f>
        <v>215.28</v>
      </c>
      <c r="Q13" s="167">
        <f>'5_Costs'!Q47</f>
        <v>215.28</v>
      </c>
      <c r="R13" s="167">
        <f>'5_Costs'!R47</f>
        <v>215.28</v>
      </c>
      <c r="S13" s="167">
        <f>'5_Costs'!S47</f>
        <v>546</v>
      </c>
      <c r="T13" s="167">
        <f>'5_Costs'!T47</f>
        <v>1020.24</v>
      </c>
      <c r="U13" s="167">
        <f>'5_Costs'!U47</f>
        <v>1163.76</v>
      </c>
      <c r="V13" s="167">
        <f>'5_Costs'!V47</f>
        <v>1494.48</v>
      </c>
      <c r="W13" s="167">
        <f>'5_Costs'!W47</f>
        <v>1494.48</v>
      </c>
      <c r="X13" s="167">
        <f>'5_Costs'!X47</f>
        <v>2371.2</v>
      </c>
      <c r="Y13" s="167">
        <f>'5_Costs'!Y47</f>
        <v>2465.753333</v>
      </c>
      <c r="Z13" s="167">
        <f>'5_Costs'!Z47</f>
        <v>3252.281067</v>
      </c>
      <c r="AA13" s="167">
        <f>'5_Costs'!AA47</f>
        <v>3633.815467</v>
      </c>
      <c r="AB13" s="167">
        <f>'5_Costs'!AB47</f>
        <v>3732.150933</v>
      </c>
      <c r="AC13" s="167">
        <f>'5_Costs'!AC47</f>
        <v>3717.819733</v>
      </c>
      <c r="AD13" s="167">
        <f>'5_Costs'!AD47</f>
        <v>3703.488533</v>
      </c>
      <c r="AE13" s="167">
        <f>'5_Costs'!AE47</f>
        <v>4489.7216</v>
      </c>
      <c r="AF13" s="167">
        <f>'5_Costs'!AF47</f>
        <v>4848.5424</v>
      </c>
      <c r="AG13" s="167">
        <f>'5_Costs'!AG47</f>
        <v>5522.1088</v>
      </c>
      <c r="AH13" s="167">
        <f>'5_Costs'!AH47</f>
        <v>6778.837867</v>
      </c>
      <c r="AI13" s="167">
        <f>'5_Costs'!AI47</f>
        <v>6752.068267</v>
      </c>
      <c r="AJ13" s="167">
        <f>'5_Costs'!AJ47</f>
        <v>7413.196267</v>
      </c>
      <c r="AK13" s="167">
        <f>'5_Costs'!AK47</f>
        <v>7634.022933</v>
      </c>
      <c r="AL13" s="167">
        <f>'5_Costs'!AL47</f>
        <v>8129.485867</v>
      </c>
      <c r="AM13" s="167">
        <f>'5_Costs'!AM47</f>
        <v>9392.708139</v>
      </c>
      <c r="AN13" s="167">
        <f>'5_Costs'!AN47</f>
        <v>10065.37681</v>
      </c>
      <c r="AO13" s="167">
        <f>'5_Costs'!AO47</f>
        <v>10792.03895</v>
      </c>
      <c r="AP13" s="167">
        <f>'5_Costs'!AP47</f>
        <v>11775.17009</v>
      </c>
      <c r="AQ13" s="167">
        <f>'5_Costs'!AQ47</f>
        <v>13249.11689</v>
      </c>
      <c r="AR13" s="167">
        <f>'5_Costs'!AR47</f>
        <v>14193.72143</v>
      </c>
      <c r="AS13" s="167">
        <f>'5_Costs'!AS47</f>
        <v>15060.71036</v>
      </c>
      <c r="AT13" s="167">
        <f>'5_Costs'!AT47</f>
        <v>16324.96375</v>
      </c>
      <c r="AU13" s="167">
        <f>'5_Costs'!AU47</f>
        <v>17370.80606</v>
      </c>
      <c r="AV13" s="167">
        <f>'5_Costs'!AV47</f>
        <v>18517.88612</v>
      </c>
      <c r="AW13" s="167">
        <f>'5_Costs'!AW47</f>
        <v>19318.97677</v>
      </c>
      <c r="AX13" s="167">
        <f>'5_Costs'!AX47</f>
        <v>21417.18559</v>
      </c>
      <c r="AY13" s="167">
        <f>'5_Costs'!AY47</f>
        <v>22839.92857</v>
      </c>
      <c r="AZ13" s="167">
        <f>'5_Costs'!AZ47</f>
        <v>24020.51084</v>
      </c>
      <c r="BA13" s="167">
        <f>'5_Costs'!BA47</f>
        <v>25265.24034</v>
      </c>
    </row>
    <row r="14" ht="14.25" customHeight="1">
      <c r="A14" s="7" t="s">
        <v>702</v>
      </c>
      <c r="B14" s="166">
        <f t="shared" ref="B14:BA14" si="2">SUM(B11:B13)</f>
        <v>0</v>
      </c>
      <c r="C14" s="166">
        <f t="shared" si="2"/>
        <v>0</v>
      </c>
      <c r="D14" s="166">
        <f t="shared" si="2"/>
        <v>0</v>
      </c>
      <c r="E14" s="166">
        <f t="shared" si="2"/>
        <v>0</v>
      </c>
      <c r="F14" s="166">
        <f t="shared" si="2"/>
        <v>300</v>
      </c>
      <c r="G14" s="166">
        <f t="shared" si="2"/>
        <v>400</v>
      </c>
      <c r="H14" s="166">
        <f t="shared" si="2"/>
        <v>1009</v>
      </c>
      <c r="I14" s="166">
        <f t="shared" si="2"/>
        <v>1009</v>
      </c>
      <c r="J14" s="166">
        <f t="shared" si="2"/>
        <v>1009</v>
      </c>
      <c r="K14" s="166">
        <f t="shared" si="2"/>
        <v>1109</v>
      </c>
      <c r="L14" s="166">
        <f t="shared" si="2"/>
        <v>1818</v>
      </c>
      <c r="M14" s="166">
        <f t="shared" si="2"/>
        <v>1818</v>
      </c>
      <c r="N14" s="166">
        <f t="shared" si="2"/>
        <v>2435.28</v>
      </c>
      <c r="O14" s="166">
        <f t="shared" si="2"/>
        <v>2635.28</v>
      </c>
      <c r="P14" s="166">
        <f t="shared" si="2"/>
        <v>2635.28</v>
      </c>
      <c r="Q14" s="166">
        <f t="shared" si="2"/>
        <v>2635.28</v>
      </c>
      <c r="R14" s="166">
        <f t="shared" si="2"/>
        <v>3435.28</v>
      </c>
      <c r="S14" s="166">
        <f t="shared" si="2"/>
        <v>5926</v>
      </c>
      <c r="T14" s="166">
        <f t="shared" si="2"/>
        <v>10040.24</v>
      </c>
      <c r="U14" s="166">
        <f t="shared" si="2"/>
        <v>11263.76</v>
      </c>
      <c r="V14" s="166">
        <f t="shared" si="2"/>
        <v>13954.48</v>
      </c>
      <c r="W14" s="166">
        <f t="shared" si="2"/>
        <v>14154.48</v>
      </c>
      <c r="X14" s="166">
        <f t="shared" si="2"/>
        <v>20971.2</v>
      </c>
      <c r="Y14" s="166">
        <f t="shared" si="2"/>
        <v>21625.75333</v>
      </c>
      <c r="Z14" s="166">
        <f t="shared" si="2"/>
        <v>26932.28107</v>
      </c>
      <c r="AA14" s="166">
        <f t="shared" si="2"/>
        <v>29923.81547</v>
      </c>
      <c r="AB14" s="166">
        <f t="shared" si="2"/>
        <v>30382.15093</v>
      </c>
      <c r="AC14" s="166">
        <f t="shared" si="2"/>
        <v>30277.81973</v>
      </c>
      <c r="AD14" s="166">
        <f t="shared" si="2"/>
        <v>30873.48853</v>
      </c>
      <c r="AE14" s="166">
        <f t="shared" si="2"/>
        <v>36339.7216</v>
      </c>
      <c r="AF14" s="166">
        <f t="shared" si="2"/>
        <v>39308.5424</v>
      </c>
      <c r="AG14" s="166">
        <f t="shared" si="2"/>
        <v>44212.1088</v>
      </c>
      <c r="AH14" s="166">
        <f t="shared" si="2"/>
        <v>53388.83787</v>
      </c>
      <c r="AI14" s="166">
        <f t="shared" si="2"/>
        <v>53182.06827</v>
      </c>
      <c r="AJ14" s="166">
        <f t="shared" si="2"/>
        <v>57983.19627</v>
      </c>
      <c r="AK14" s="166">
        <f t="shared" si="2"/>
        <v>59464.02293</v>
      </c>
      <c r="AL14" s="166">
        <f t="shared" si="2"/>
        <v>61309.48587</v>
      </c>
      <c r="AM14" s="166">
        <f t="shared" si="2"/>
        <v>70402.70814</v>
      </c>
      <c r="AN14" s="166">
        <f t="shared" si="2"/>
        <v>75125.37681</v>
      </c>
      <c r="AO14" s="166">
        <f t="shared" si="2"/>
        <v>80442.03895</v>
      </c>
      <c r="AP14" s="166">
        <f t="shared" si="2"/>
        <v>88335.17009</v>
      </c>
      <c r="AQ14" s="166">
        <f t="shared" si="2"/>
        <v>98539.11689</v>
      </c>
      <c r="AR14" s="166">
        <f t="shared" si="2"/>
        <v>105603.7214</v>
      </c>
      <c r="AS14" s="166">
        <f t="shared" si="2"/>
        <v>112050.7104</v>
      </c>
      <c r="AT14" s="166">
        <f t="shared" si="2"/>
        <v>120964.9638</v>
      </c>
      <c r="AU14" s="166">
        <f t="shared" si="2"/>
        <v>128670.8061</v>
      </c>
      <c r="AV14" s="166">
        <f t="shared" si="2"/>
        <v>137017.8861</v>
      </c>
      <c r="AW14" s="166">
        <f t="shared" si="2"/>
        <v>142588.9768</v>
      </c>
      <c r="AX14" s="166">
        <f t="shared" si="2"/>
        <v>152787.1856</v>
      </c>
      <c r="AY14" s="166">
        <f t="shared" si="2"/>
        <v>162759.9286</v>
      </c>
      <c r="AZ14" s="166">
        <f t="shared" si="2"/>
        <v>170870.5108</v>
      </c>
      <c r="BA14" s="166">
        <f t="shared" si="2"/>
        <v>179675.2403</v>
      </c>
    </row>
    <row r="15" ht="14.25" customHeight="1">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row>
    <row r="16" ht="14.25" customHeight="1">
      <c r="A16" s="8" t="s">
        <v>703</v>
      </c>
      <c r="B16" s="166">
        <f t="shared" ref="B16:BA16" si="3">B8-B14</f>
        <v>0</v>
      </c>
      <c r="C16" s="166">
        <f t="shared" si="3"/>
        <v>0</v>
      </c>
      <c r="D16" s="166">
        <f t="shared" si="3"/>
        <v>0</v>
      </c>
      <c r="E16" s="166">
        <f t="shared" si="3"/>
        <v>0</v>
      </c>
      <c r="F16" s="166">
        <f t="shared" si="3"/>
        <v>-300</v>
      </c>
      <c r="G16" s="166">
        <f t="shared" si="3"/>
        <v>-400</v>
      </c>
      <c r="H16" s="166">
        <f t="shared" si="3"/>
        <v>31751</v>
      </c>
      <c r="I16" s="166">
        <f t="shared" si="3"/>
        <v>1751</v>
      </c>
      <c r="J16" s="166">
        <f t="shared" si="3"/>
        <v>1751</v>
      </c>
      <c r="K16" s="166">
        <f t="shared" si="3"/>
        <v>1651</v>
      </c>
      <c r="L16" s="166">
        <f t="shared" si="3"/>
        <v>33702</v>
      </c>
      <c r="M16" s="166">
        <f t="shared" si="3"/>
        <v>3702</v>
      </c>
      <c r="N16" s="166">
        <f t="shared" si="3"/>
        <v>36175.92</v>
      </c>
      <c r="O16" s="166">
        <f t="shared" si="3"/>
        <v>5975.92</v>
      </c>
      <c r="P16" s="166">
        <f t="shared" si="3"/>
        <v>5975.92</v>
      </c>
      <c r="Q16" s="166">
        <f t="shared" si="3"/>
        <v>5975.92</v>
      </c>
      <c r="R16" s="166">
        <f t="shared" si="3"/>
        <v>5175.92</v>
      </c>
      <c r="S16" s="166">
        <f t="shared" si="3"/>
        <v>75914</v>
      </c>
      <c r="T16" s="166">
        <f t="shared" si="3"/>
        <v>150769.36</v>
      </c>
      <c r="U16" s="166">
        <f t="shared" si="3"/>
        <v>95286.64</v>
      </c>
      <c r="V16" s="166">
        <f t="shared" si="3"/>
        <v>105824.72</v>
      </c>
      <c r="W16" s="166">
        <f t="shared" si="3"/>
        <v>45624.72</v>
      </c>
      <c r="X16" s="166">
        <f t="shared" si="3"/>
        <v>283876.8</v>
      </c>
      <c r="Y16" s="166">
        <f t="shared" si="3"/>
        <v>107004.38</v>
      </c>
      <c r="Z16" s="166">
        <f t="shared" si="3"/>
        <v>223158.9616</v>
      </c>
      <c r="AA16" s="166">
        <f t="shared" si="3"/>
        <v>235428.8032</v>
      </c>
      <c r="AB16" s="166">
        <f t="shared" si="3"/>
        <v>148903.8864</v>
      </c>
      <c r="AC16" s="166">
        <f t="shared" si="3"/>
        <v>118434.9696</v>
      </c>
      <c r="AD16" s="166">
        <f t="shared" si="3"/>
        <v>117266.0528</v>
      </c>
      <c r="AE16" s="166">
        <f t="shared" si="3"/>
        <v>293249.1424</v>
      </c>
      <c r="AF16" s="166">
        <f t="shared" si="3"/>
        <v>304633.1536</v>
      </c>
      <c r="AG16" s="166">
        <f t="shared" si="3"/>
        <v>296672.2432</v>
      </c>
      <c r="AH16" s="166">
        <f t="shared" si="3"/>
        <v>517764.6768</v>
      </c>
      <c r="AI16" s="166">
        <f t="shared" si="3"/>
        <v>216900.6624</v>
      </c>
      <c r="AJ16" s="166">
        <f t="shared" si="3"/>
        <v>358544.6544</v>
      </c>
      <c r="AK16" s="166">
        <f t="shared" si="3"/>
        <v>335896.8944</v>
      </c>
      <c r="AL16" s="166">
        <f t="shared" si="3"/>
        <v>353869.9488</v>
      </c>
      <c r="AM16" s="166">
        <f t="shared" si="3"/>
        <v>575305.6174</v>
      </c>
      <c r="AN16" s="166">
        <f t="shared" si="3"/>
        <v>447489.6956</v>
      </c>
      <c r="AO16" s="166">
        <f t="shared" si="3"/>
        <v>531239.5192</v>
      </c>
      <c r="AP16" s="166">
        <f t="shared" si="3"/>
        <v>622671.6335</v>
      </c>
      <c r="AQ16" s="166">
        <f t="shared" si="3"/>
        <v>791425.5585</v>
      </c>
      <c r="AR16" s="166">
        <f t="shared" si="3"/>
        <v>732145.1357</v>
      </c>
      <c r="AS16" s="166">
        <f t="shared" si="3"/>
        <v>730377.7039</v>
      </c>
      <c r="AT16" s="166">
        <f t="shared" si="3"/>
        <v>832033.5864</v>
      </c>
      <c r="AU16" s="166">
        <f t="shared" si="3"/>
        <v>836161.4363</v>
      </c>
      <c r="AV16" s="166">
        <f t="shared" si="3"/>
        <v>873697.5588</v>
      </c>
      <c r="AW16" s="166">
        <f t="shared" si="3"/>
        <v>840170.094</v>
      </c>
      <c r="AX16" s="166">
        <f t="shared" si="3"/>
        <v>1033900.238</v>
      </c>
      <c r="AY16" s="166">
        <f t="shared" si="3"/>
        <v>1140837.214</v>
      </c>
      <c r="AZ16" s="166">
        <f t="shared" si="3"/>
        <v>1089949.923</v>
      </c>
      <c r="BA16" s="166">
        <f t="shared" si="3"/>
        <v>1130934.373</v>
      </c>
    </row>
    <row r="17" ht="14.25" customHeight="1">
      <c r="A17" s="7" t="s">
        <v>704</v>
      </c>
      <c r="B17" s="158">
        <f t="shared" ref="B17:BA17" si="4">IFERROR(B16/B8,0)</f>
        <v>0</v>
      </c>
      <c r="C17" s="158">
        <f t="shared" si="4"/>
        <v>0</v>
      </c>
      <c r="D17" s="158">
        <f t="shared" si="4"/>
        <v>0</v>
      </c>
      <c r="E17" s="158">
        <f t="shared" si="4"/>
        <v>0</v>
      </c>
      <c r="F17" s="158">
        <f t="shared" si="4"/>
        <v>0</v>
      </c>
      <c r="G17" s="158">
        <f t="shared" si="4"/>
        <v>0</v>
      </c>
      <c r="H17" s="158">
        <f t="shared" si="4"/>
        <v>0.9692002442</v>
      </c>
      <c r="I17" s="158">
        <f t="shared" si="4"/>
        <v>0.6344202899</v>
      </c>
      <c r="J17" s="158">
        <f t="shared" si="4"/>
        <v>0.6344202899</v>
      </c>
      <c r="K17" s="158">
        <f t="shared" si="4"/>
        <v>0.5981884058</v>
      </c>
      <c r="L17" s="158">
        <f t="shared" si="4"/>
        <v>0.9488175676</v>
      </c>
      <c r="M17" s="158">
        <f t="shared" si="4"/>
        <v>0.6706521739</v>
      </c>
      <c r="N17" s="158">
        <f t="shared" si="4"/>
        <v>0.9369281452</v>
      </c>
      <c r="O17" s="158">
        <f t="shared" si="4"/>
        <v>0.6939706429</v>
      </c>
      <c r="P17" s="158">
        <f t="shared" si="4"/>
        <v>0.6939706429</v>
      </c>
      <c r="Q17" s="158">
        <f t="shared" si="4"/>
        <v>0.6939706429</v>
      </c>
      <c r="R17" s="158">
        <f t="shared" si="4"/>
        <v>0.6010683761</v>
      </c>
      <c r="S17" s="158">
        <f t="shared" si="4"/>
        <v>0.9275904203</v>
      </c>
      <c r="T17" s="158">
        <f t="shared" si="4"/>
        <v>0.937564424</v>
      </c>
      <c r="U17" s="158">
        <f t="shared" si="4"/>
        <v>0.8942870229</v>
      </c>
      <c r="V17" s="158">
        <f t="shared" si="4"/>
        <v>0.8834983035</v>
      </c>
      <c r="W17" s="158">
        <f t="shared" si="4"/>
        <v>0.763220652</v>
      </c>
      <c r="X17" s="158">
        <f t="shared" si="4"/>
        <v>0.9312076838</v>
      </c>
      <c r="Y17" s="158">
        <f t="shared" si="4"/>
        <v>0.8318764603</v>
      </c>
      <c r="Z17" s="158">
        <f t="shared" si="4"/>
        <v>0.8923101794</v>
      </c>
      <c r="AA17" s="158">
        <f t="shared" si="4"/>
        <v>0.8872299975</v>
      </c>
      <c r="AB17" s="158">
        <f t="shared" si="4"/>
        <v>0.8305381089</v>
      </c>
      <c r="AC17" s="158">
        <f t="shared" si="4"/>
        <v>0.7964007005</v>
      </c>
      <c r="AD17" s="158">
        <f t="shared" si="4"/>
        <v>0.7915918447</v>
      </c>
      <c r="AE17" s="158">
        <f t="shared" si="4"/>
        <v>0.8897422651</v>
      </c>
      <c r="AF17" s="158">
        <f t="shared" si="4"/>
        <v>0.8857116108</v>
      </c>
      <c r="AG17" s="158">
        <f t="shared" si="4"/>
        <v>0.8703017356</v>
      </c>
      <c r="AH17" s="158">
        <f t="shared" si="4"/>
        <v>0.9065245394</v>
      </c>
      <c r="AI17" s="158">
        <f t="shared" si="4"/>
        <v>0.803089712</v>
      </c>
      <c r="AJ17" s="158">
        <f t="shared" si="4"/>
        <v>0.8607939513</v>
      </c>
      <c r="AK17" s="158">
        <f t="shared" si="4"/>
        <v>0.8495955965</v>
      </c>
      <c r="AL17" s="158">
        <f t="shared" si="4"/>
        <v>0.8523301475</v>
      </c>
      <c r="AM17" s="158">
        <f t="shared" si="4"/>
        <v>0.8909682509</v>
      </c>
      <c r="AN17" s="158">
        <f t="shared" si="4"/>
        <v>0.856251033</v>
      </c>
      <c r="AO17" s="158">
        <f t="shared" si="4"/>
        <v>0.8684903315</v>
      </c>
      <c r="AP17" s="158">
        <f t="shared" si="4"/>
        <v>0.8757604433</v>
      </c>
      <c r="AQ17" s="158">
        <f t="shared" si="4"/>
        <v>0.8892774965</v>
      </c>
      <c r="AR17" s="158">
        <f t="shared" si="4"/>
        <v>0.8739434611</v>
      </c>
      <c r="AS17" s="158">
        <f t="shared" si="4"/>
        <v>0.8669908227</v>
      </c>
      <c r="AT17" s="158">
        <f t="shared" si="4"/>
        <v>0.8730690999</v>
      </c>
      <c r="AU17" s="158">
        <f t="shared" si="4"/>
        <v>0.8666391934</v>
      </c>
      <c r="AV17" s="158">
        <f t="shared" si="4"/>
        <v>0.8644347558</v>
      </c>
      <c r="AW17" s="158">
        <f t="shared" si="4"/>
        <v>0.8549095287</v>
      </c>
      <c r="AX17" s="158">
        <f t="shared" si="4"/>
        <v>0.8712490058</v>
      </c>
      <c r="AY17" s="158">
        <f t="shared" si="4"/>
        <v>0.8751455314</v>
      </c>
      <c r="AZ17" s="158">
        <f t="shared" si="4"/>
        <v>0.8644767278</v>
      </c>
      <c r="BA17" s="158">
        <f t="shared" si="4"/>
        <v>0.8629071247</v>
      </c>
    </row>
    <row r="18" ht="14.25" customHeight="1"/>
    <row r="19" ht="14.25" customHeight="1">
      <c r="A19" s="8" t="s">
        <v>705</v>
      </c>
    </row>
    <row r="20" ht="14.25" customHeight="1">
      <c r="A20" s="7" t="s">
        <v>706</v>
      </c>
      <c r="B20" s="167">
        <f>'5_Costs'!B13</f>
        <v>0</v>
      </c>
      <c r="C20" s="167">
        <f>'5_Costs'!C13</f>
        <v>0</v>
      </c>
      <c r="D20" s="167">
        <f>'5_Costs'!D13</f>
        <v>0</v>
      </c>
      <c r="E20" s="167">
        <f>'5_Costs'!E13</f>
        <v>0</v>
      </c>
      <c r="F20" s="167">
        <f>'5_Costs'!F13</f>
        <v>25000</v>
      </c>
      <c r="G20" s="167">
        <f>'5_Costs'!G13</f>
        <v>32714</v>
      </c>
      <c r="H20" s="167">
        <f>'5_Costs'!H13</f>
        <v>32714</v>
      </c>
      <c r="I20" s="167">
        <f>'5_Costs'!I13</f>
        <v>32714</v>
      </c>
      <c r="J20" s="167">
        <f>'5_Costs'!J13</f>
        <v>32714</v>
      </c>
      <c r="K20" s="167">
        <f>'5_Costs'!K13</f>
        <v>40733</v>
      </c>
      <c r="L20" s="167">
        <f>'5_Costs'!L13</f>
        <v>47735.33333</v>
      </c>
      <c r="M20" s="167">
        <f>'5_Costs'!M13</f>
        <v>47735.33333</v>
      </c>
      <c r="N20" s="167">
        <f>'5_Costs'!N13</f>
        <v>48409.38333</v>
      </c>
      <c r="O20" s="167">
        <f>'5_Costs'!O13</f>
        <v>58430.75</v>
      </c>
      <c r="P20" s="167">
        <f>'5_Costs'!P13</f>
        <v>58430.75</v>
      </c>
      <c r="Q20" s="167">
        <f>'5_Costs'!Q13</f>
        <v>58430.75</v>
      </c>
      <c r="R20" s="167">
        <f>'5_Costs'!R13</f>
        <v>58430.75</v>
      </c>
      <c r="S20" s="167">
        <f>'5_Costs'!S13</f>
        <v>58430.75</v>
      </c>
      <c r="T20" s="167">
        <f>'5_Costs'!T13</f>
        <v>73478.51667</v>
      </c>
      <c r="U20" s="167">
        <f>'5_Costs'!U13</f>
        <v>73478.51667</v>
      </c>
      <c r="V20" s="167">
        <f>'5_Costs'!V13</f>
        <v>81421.26667</v>
      </c>
      <c r="W20" s="167">
        <f>'5_Costs'!W13</f>
        <v>89678.16667</v>
      </c>
      <c r="X20" s="167">
        <f>'5_Costs'!X13</f>
        <v>89678.16667</v>
      </c>
      <c r="Y20" s="167">
        <f>'5_Costs'!Y13</f>
        <v>95003</v>
      </c>
      <c r="Z20" s="167">
        <f>'5_Costs'!Z13</f>
        <v>105578.327</v>
      </c>
      <c r="AA20" s="167">
        <f>'5_Costs'!AA13</f>
        <v>105578.327</v>
      </c>
      <c r="AB20" s="167">
        <f>'5_Costs'!AB13</f>
        <v>105578.327</v>
      </c>
      <c r="AC20" s="167">
        <f>'5_Costs'!AC13</f>
        <v>105578.327</v>
      </c>
      <c r="AD20" s="167">
        <f>'5_Costs'!AD13</f>
        <v>105578.327</v>
      </c>
      <c r="AE20" s="167">
        <f>'5_Costs'!AE13</f>
        <v>105578.327</v>
      </c>
      <c r="AF20" s="167">
        <f>'5_Costs'!AF13</f>
        <v>105578.327</v>
      </c>
      <c r="AG20" s="167">
        <f>'5_Costs'!AG13</f>
        <v>105578.327</v>
      </c>
      <c r="AH20" s="167">
        <f>'5_Costs'!AH13</f>
        <v>105578.327</v>
      </c>
      <c r="AI20" s="167">
        <f>'5_Costs'!AI13</f>
        <v>105578.327</v>
      </c>
      <c r="AJ20" s="167">
        <f>'5_Costs'!AJ13</f>
        <v>105578.327</v>
      </c>
      <c r="AK20" s="167">
        <f>'5_Costs'!AK13</f>
        <v>105578.327</v>
      </c>
      <c r="AL20" s="167">
        <f>'5_Costs'!AL13</f>
        <v>107966.3068</v>
      </c>
      <c r="AM20" s="167">
        <f>'5_Costs'!AM13</f>
        <v>107966.3068</v>
      </c>
      <c r="AN20" s="167">
        <f>'5_Costs'!AN13</f>
        <v>107966.3068</v>
      </c>
      <c r="AO20" s="167">
        <f>'5_Costs'!AO13</f>
        <v>107966.3068</v>
      </c>
      <c r="AP20" s="167">
        <f>'5_Costs'!AP13</f>
        <v>112966.3068</v>
      </c>
      <c r="AQ20" s="167">
        <f>'5_Costs'!AQ13</f>
        <v>112966.3068</v>
      </c>
      <c r="AR20" s="167">
        <f>'5_Costs'!AR13</f>
        <v>112966.3068</v>
      </c>
      <c r="AS20" s="167">
        <f>'5_Costs'!AS13</f>
        <v>112966.3068</v>
      </c>
      <c r="AT20" s="167">
        <f>'5_Costs'!AT13</f>
        <v>112966.3068</v>
      </c>
      <c r="AU20" s="167">
        <f>'5_Costs'!AU13</f>
        <v>112966.3068</v>
      </c>
      <c r="AV20" s="167">
        <f>'5_Costs'!AV13</f>
        <v>112966.3068</v>
      </c>
      <c r="AW20" s="167">
        <f>'5_Costs'!AW13</f>
        <v>112966.3068</v>
      </c>
      <c r="AX20" s="167">
        <f>'5_Costs'!AX13</f>
        <v>115425.926</v>
      </c>
      <c r="AY20" s="167">
        <f>'5_Costs'!AY13</f>
        <v>115425.926</v>
      </c>
      <c r="AZ20" s="167">
        <f>'5_Costs'!AZ13</f>
        <v>115425.926</v>
      </c>
      <c r="BA20" s="167">
        <f>'5_Costs'!BA13</f>
        <v>115425.926</v>
      </c>
    </row>
    <row r="21" ht="14.25" customHeight="1">
      <c r="A21" s="7" t="s">
        <v>707</v>
      </c>
      <c r="B21" s="167">
        <f>'5_Costs'!B18</f>
        <v>0</v>
      </c>
      <c r="C21" s="167">
        <f>'5_Costs'!C18</f>
        <v>0</v>
      </c>
      <c r="D21" s="167">
        <f>'5_Costs'!D18</f>
        <v>0</v>
      </c>
      <c r="E21" s="167">
        <f>'5_Costs'!E18</f>
        <v>0</v>
      </c>
      <c r="F21" s="167">
        <f>'5_Costs'!F18</f>
        <v>700</v>
      </c>
      <c r="G21" s="167">
        <f>'5_Costs'!G18</f>
        <v>800</v>
      </c>
      <c r="H21" s="167">
        <f>'5_Costs'!H18</f>
        <v>1340</v>
      </c>
      <c r="I21" s="167">
        <f>'5_Costs'!I18</f>
        <v>1340</v>
      </c>
      <c r="J21" s="167">
        <f>'5_Costs'!J18</f>
        <v>1340</v>
      </c>
      <c r="K21" s="167">
        <f>'5_Costs'!K18</f>
        <v>1440</v>
      </c>
      <c r="L21" s="167">
        <f>'5_Costs'!L18</f>
        <v>2080</v>
      </c>
      <c r="M21" s="167">
        <f>'5_Costs'!M18</f>
        <v>2080</v>
      </c>
      <c r="N21" s="167">
        <f>'5_Costs'!N18</f>
        <v>2620</v>
      </c>
      <c r="O21" s="167">
        <f>'5_Costs'!O18</f>
        <v>2820</v>
      </c>
      <c r="P21" s="167">
        <f>'5_Costs'!P18</f>
        <v>2820</v>
      </c>
      <c r="Q21" s="167">
        <f>'5_Costs'!Q18</f>
        <v>2820</v>
      </c>
      <c r="R21" s="167">
        <f>'5_Costs'!R18</f>
        <v>4020</v>
      </c>
      <c r="S21" s="167">
        <f>'5_Costs'!S18</f>
        <v>6180</v>
      </c>
      <c r="T21" s="167">
        <f>'5_Costs'!T18</f>
        <v>9820</v>
      </c>
      <c r="U21" s="167">
        <f>'5_Costs'!U18</f>
        <v>10900</v>
      </c>
      <c r="V21" s="167">
        <f>'5_Costs'!V18</f>
        <v>13260</v>
      </c>
      <c r="W21" s="167">
        <f>'5_Costs'!W18</f>
        <v>13460</v>
      </c>
      <c r="X21" s="167">
        <f>'5_Costs'!X18</f>
        <v>19400</v>
      </c>
      <c r="Y21" s="167">
        <f>'5_Costs'!Y18</f>
        <v>19960</v>
      </c>
      <c r="Z21" s="167">
        <f>'5_Costs'!Z18</f>
        <v>24480</v>
      </c>
      <c r="AA21" s="167">
        <f>'5_Costs'!AA18</f>
        <v>27090</v>
      </c>
      <c r="AB21" s="167">
        <f>'5_Costs'!AB18</f>
        <v>27450</v>
      </c>
      <c r="AC21" s="167">
        <f>'5_Costs'!AC18</f>
        <v>27360</v>
      </c>
      <c r="AD21" s="167">
        <f>'5_Costs'!AD18</f>
        <v>28670</v>
      </c>
      <c r="AE21" s="167">
        <f>'5_Costs'!AE18</f>
        <v>33350</v>
      </c>
      <c r="AF21" s="167">
        <f>'5_Costs'!AF18</f>
        <v>35960</v>
      </c>
      <c r="AG21" s="167">
        <f>'5_Costs'!AG18</f>
        <v>40190</v>
      </c>
      <c r="AH21" s="167">
        <f>'5_Costs'!AH18</f>
        <v>48110</v>
      </c>
      <c r="AI21" s="167">
        <f>'5_Costs'!AI18</f>
        <v>47930</v>
      </c>
      <c r="AJ21" s="167">
        <f>'5_Costs'!AJ18</f>
        <v>52070</v>
      </c>
      <c r="AK21" s="167">
        <f>'5_Costs'!AK18</f>
        <v>53330</v>
      </c>
      <c r="AL21" s="167">
        <f>'5_Costs'!AL18</f>
        <v>54680</v>
      </c>
      <c r="AM21" s="167">
        <f>'5_Costs'!AM18</f>
        <v>62510</v>
      </c>
      <c r="AN21" s="167">
        <f>'5_Costs'!AN18</f>
        <v>66560</v>
      </c>
      <c r="AO21" s="167">
        <f>'5_Costs'!AO18</f>
        <v>71150</v>
      </c>
      <c r="AP21" s="167">
        <f>'5_Costs'!AP18</f>
        <v>79060</v>
      </c>
      <c r="AQ21" s="167">
        <f>'5_Costs'!AQ18</f>
        <v>87790</v>
      </c>
      <c r="AR21" s="167">
        <f>'5_Costs'!AR18</f>
        <v>93910</v>
      </c>
      <c r="AS21" s="167">
        <f>'5_Costs'!AS18</f>
        <v>99490</v>
      </c>
      <c r="AT21" s="167">
        <f>'5_Costs'!AT18</f>
        <v>107140</v>
      </c>
      <c r="AU21" s="167">
        <f>'5_Costs'!AU18</f>
        <v>113800</v>
      </c>
      <c r="AV21" s="167">
        <f>'5_Costs'!AV18</f>
        <v>121000</v>
      </c>
      <c r="AW21" s="167">
        <f>'5_Costs'!AW18</f>
        <v>125770</v>
      </c>
      <c r="AX21" s="167">
        <f>'5_Costs'!AX18</f>
        <v>133870</v>
      </c>
      <c r="AY21" s="167">
        <f>'5_Costs'!AY18</f>
        <v>142420</v>
      </c>
      <c r="AZ21" s="167">
        <f>'5_Costs'!AZ18</f>
        <v>149350</v>
      </c>
      <c r="BA21" s="167">
        <f>'5_Costs'!BA18</f>
        <v>156910</v>
      </c>
    </row>
    <row r="22" ht="14.25" customHeight="1">
      <c r="A22" s="7" t="s">
        <v>708</v>
      </c>
      <c r="B22" s="167">
        <f>'5_Costs'!B24</f>
        <v>0</v>
      </c>
      <c r="C22" s="167">
        <f>'5_Costs'!C24</f>
        <v>0</v>
      </c>
      <c r="D22" s="167">
        <f>'5_Costs'!D24</f>
        <v>0</v>
      </c>
      <c r="E22" s="167">
        <f>'5_Costs'!E24</f>
        <v>0</v>
      </c>
      <c r="F22" s="167">
        <f>'5_Costs'!F24</f>
        <v>800</v>
      </c>
      <c r="G22" s="167">
        <f>'5_Costs'!G24</f>
        <v>800</v>
      </c>
      <c r="H22" s="167">
        <f>'5_Costs'!H24</f>
        <v>800</v>
      </c>
      <c r="I22" s="167">
        <f>'5_Costs'!I24</f>
        <v>800</v>
      </c>
      <c r="J22" s="167">
        <f>'5_Costs'!J24</f>
        <v>800</v>
      </c>
      <c r="K22" s="167">
        <f>'5_Costs'!K24</f>
        <v>1200</v>
      </c>
      <c r="L22" s="167">
        <f>'5_Costs'!L24</f>
        <v>1200</v>
      </c>
      <c r="M22" s="167">
        <f>'5_Costs'!M24</f>
        <v>1200</v>
      </c>
      <c r="N22" s="167">
        <f>'5_Costs'!N24</f>
        <v>1200</v>
      </c>
      <c r="O22" s="167">
        <f>'5_Costs'!O24</f>
        <v>1600</v>
      </c>
      <c r="P22" s="167">
        <f>'5_Costs'!P24</f>
        <v>1600</v>
      </c>
      <c r="Q22" s="167">
        <f>'5_Costs'!Q24</f>
        <v>1600</v>
      </c>
      <c r="R22" s="167">
        <f>'5_Costs'!R24</f>
        <v>4040</v>
      </c>
      <c r="S22" s="167">
        <f>'5_Costs'!S24</f>
        <v>4040</v>
      </c>
      <c r="T22" s="167">
        <f>'5_Costs'!T24</f>
        <v>4040</v>
      </c>
      <c r="U22" s="167">
        <f>'5_Costs'!U24</f>
        <v>4040</v>
      </c>
      <c r="V22" s="167">
        <f>'5_Costs'!V24</f>
        <v>4040</v>
      </c>
      <c r="W22" s="167">
        <f>'5_Costs'!W24</f>
        <v>4040</v>
      </c>
      <c r="X22" s="167">
        <f>'5_Costs'!X24</f>
        <v>4040</v>
      </c>
      <c r="Y22" s="167">
        <f>'5_Costs'!Y24</f>
        <v>4040</v>
      </c>
      <c r="Z22" s="167">
        <f>'5_Costs'!Z24</f>
        <v>4040</v>
      </c>
      <c r="AA22" s="167">
        <f>'5_Costs'!AA24</f>
        <v>4040</v>
      </c>
      <c r="AB22" s="167">
        <f>'5_Costs'!AB24</f>
        <v>4040</v>
      </c>
      <c r="AC22" s="167">
        <f>'5_Costs'!AC24</f>
        <v>4040</v>
      </c>
      <c r="AD22" s="167">
        <f>'5_Costs'!AD24</f>
        <v>5040</v>
      </c>
      <c r="AE22" s="167">
        <f>'5_Costs'!AE24</f>
        <v>5040</v>
      </c>
      <c r="AF22" s="167">
        <f>'5_Costs'!AF24</f>
        <v>5040</v>
      </c>
      <c r="AG22" s="167">
        <f>'5_Costs'!AG24</f>
        <v>5040</v>
      </c>
      <c r="AH22" s="167">
        <f>'5_Costs'!AH24</f>
        <v>5040</v>
      </c>
      <c r="AI22" s="167">
        <f>'5_Costs'!AI24</f>
        <v>5040</v>
      </c>
      <c r="AJ22" s="167">
        <f>'5_Costs'!AJ24</f>
        <v>5040</v>
      </c>
      <c r="AK22" s="167">
        <f>'5_Costs'!AK24</f>
        <v>5040</v>
      </c>
      <c r="AL22" s="167">
        <f>'5_Costs'!AL24</f>
        <v>5040</v>
      </c>
      <c r="AM22" s="167">
        <f>'5_Costs'!AM24</f>
        <v>5040</v>
      </c>
      <c r="AN22" s="167">
        <f>'5_Costs'!AN24</f>
        <v>5040</v>
      </c>
      <c r="AO22" s="167">
        <f>'5_Costs'!AO24</f>
        <v>5040</v>
      </c>
      <c r="AP22" s="167">
        <f>'5_Costs'!AP24</f>
        <v>5040</v>
      </c>
      <c r="AQ22" s="167">
        <f>'5_Costs'!AQ24</f>
        <v>5040</v>
      </c>
      <c r="AR22" s="167">
        <f>'5_Costs'!AR24</f>
        <v>5040</v>
      </c>
      <c r="AS22" s="167">
        <f>'5_Costs'!AS24</f>
        <v>5040</v>
      </c>
      <c r="AT22" s="167">
        <f>'5_Costs'!AT24</f>
        <v>5040</v>
      </c>
      <c r="AU22" s="167">
        <f>'5_Costs'!AU24</f>
        <v>5040</v>
      </c>
      <c r="AV22" s="167">
        <f>'5_Costs'!AV24</f>
        <v>5040</v>
      </c>
      <c r="AW22" s="167">
        <f>'5_Costs'!AW24</f>
        <v>5040</v>
      </c>
      <c r="AX22" s="167">
        <f>'5_Costs'!AX24</f>
        <v>5040</v>
      </c>
      <c r="AY22" s="167">
        <f>'5_Costs'!AY24</f>
        <v>5040</v>
      </c>
      <c r="AZ22" s="167">
        <f>'5_Costs'!AZ24</f>
        <v>5040</v>
      </c>
      <c r="BA22" s="167">
        <f>'5_Costs'!BA24</f>
        <v>5040</v>
      </c>
    </row>
    <row r="23" ht="14.25" customHeight="1">
      <c r="A23" s="7" t="s">
        <v>709</v>
      </c>
      <c r="B23" s="167">
        <f>'5_Costs'!B30</f>
        <v>0</v>
      </c>
      <c r="C23" s="167">
        <f>'5_Costs'!C30</f>
        <v>0</v>
      </c>
      <c r="D23" s="167">
        <f>'5_Costs'!D30</f>
        <v>0</v>
      </c>
      <c r="E23" s="167">
        <f>'5_Costs'!E30</f>
        <v>0</v>
      </c>
      <c r="F23" s="167">
        <f>'5_Costs'!F30</f>
        <v>1100</v>
      </c>
      <c r="G23" s="167">
        <f>'5_Costs'!G30</f>
        <v>1100</v>
      </c>
      <c r="H23" s="167">
        <f>'5_Costs'!H30</f>
        <v>1100</v>
      </c>
      <c r="I23" s="167">
        <f>'5_Costs'!I30</f>
        <v>1100</v>
      </c>
      <c r="J23" s="167">
        <f>'5_Costs'!J30</f>
        <v>1100</v>
      </c>
      <c r="K23" s="167">
        <f>'5_Costs'!K30</f>
        <v>1100</v>
      </c>
      <c r="L23" s="167">
        <f>'5_Costs'!L30</f>
        <v>1100</v>
      </c>
      <c r="M23" s="167">
        <f>'5_Costs'!M30</f>
        <v>1100</v>
      </c>
      <c r="N23" s="167">
        <f>'5_Costs'!N30</f>
        <v>1100</v>
      </c>
      <c r="O23" s="167">
        <f>'5_Costs'!O30</f>
        <v>1100</v>
      </c>
      <c r="P23" s="167">
        <f>'5_Costs'!P30</f>
        <v>1100</v>
      </c>
      <c r="Q23" s="167">
        <f>'5_Costs'!Q30</f>
        <v>1100</v>
      </c>
      <c r="R23" s="167">
        <f>'5_Costs'!R30</f>
        <v>52600</v>
      </c>
      <c r="S23" s="167">
        <f>'5_Costs'!S30</f>
        <v>2600</v>
      </c>
      <c r="T23" s="167">
        <f>'5_Costs'!T30</f>
        <v>2600</v>
      </c>
      <c r="U23" s="167">
        <f>'5_Costs'!U30</f>
        <v>2600</v>
      </c>
      <c r="V23" s="167">
        <f>'5_Costs'!V30</f>
        <v>2600</v>
      </c>
      <c r="W23" s="167">
        <f>'5_Costs'!W30</f>
        <v>2600</v>
      </c>
      <c r="X23" s="167">
        <f>'5_Costs'!X30</f>
        <v>2600</v>
      </c>
      <c r="Y23" s="167">
        <f>'5_Costs'!Y30</f>
        <v>2600</v>
      </c>
      <c r="Z23" s="167">
        <f>'5_Costs'!Z30</f>
        <v>2600</v>
      </c>
      <c r="AA23" s="167">
        <f>'5_Costs'!AA30</f>
        <v>2600</v>
      </c>
      <c r="AB23" s="167">
        <f>'5_Costs'!AB30</f>
        <v>2600</v>
      </c>
      <c r="AC23" s="167">
        <f>'5_Costs'!AC30</f>
        <v>2600</v>
      </c>
      <c r="AD23" s="167">
        <f>'5_Costs'!AD30</f>
        <v>105700</v>
      </c>
      <c r="AE23" s="167">
        <f>'5_Costs'!AE30</f>
        <v>5700</v>
      </c>
      <c r="AF23" s="167">
        <f>'5_Costs'!AF30</f>
        <v>5700</v>
      </c>
      <c r="AG23" s="167">
        <f>'5_Costs'!AG30</f>
        <v>5700</v>
      </c>
      <c r="AH23" s="167">
        <f>'5_Costs'!AH30</f>
        <v>5700</v>
      </c>
      <c r="AI23" s="167">
        <f>'5_Costs'!AI30</f>
        <v>5700</v>
      </c>
      <c r="AJ23" s="167">
        <f>'5_Costs'!AJ30</f>
        <v>5700</v>
      </c>
      <c r="AK23" s="167">
        <f>'5_Costs'!AK30</f>
        <v>5700</v>
      </c>
      <c r="AL23" s="167">
        <f>'5_Costs'!AL30</f>
        <v>5700</v>
      </c>
      <c r="AM23" s="167">
        <f>'5_Costs'!AM30</f>
        <v>5700</v>
      </c>
      <c r="AN23" s="167">
        <f>'5_Costs'!AN30</f>
        <v>5700</v>
      </c>
      <c r="AO23" s="167">
        <f>'5_Costs'!AO30</f>
        <v>5700</v>
      </c>
      <c r="AP23" s="167">
        <f>'5_Costs'!AP30</f>
        <v>107000</v>
      </c>
      <c r="AQ23" s="167">
        <f>'5_Costs'!AQ30</f>
        <v>7000</v>
      </c>
      <c r="AR23" s="167">
        <f>'5_Costs'!AR30</f>
        <v>7000</v>
      </c>
      <c r="AS23" s="167">
        <f>'5_Costs'!AS30</f>
        <v>7000</v>
      </c>
      <c r="AT23" s="167">
        <f>'5_Costs'!AT30</f>
        <v>7000</v>
      </c>
      <c r="AU23" s="167">
        <f>'5_Costs'!AU30</f>
        <v>7000</v>
      </c>
      <c r="AV23" s="167">
        <f>'5_Costs'!AV30</f>
        <v>7000</v>
      </c>
      <c r="AW23" s="167">
        <f>'5_Costs'!AW30</f>
        <v>7000</v>
      </c>
      <c r="AX23" s="167">
        <f>'5_Costs'!AX30</f>
        <v>7000</v>
      </c>
      <c r="AY23" s="167">
        <f>'5_Costs'!AY30</f>
        <v>7000</v>
      </c>
      <c r="AZ23" s="167">
        <f>'5_Costs'!AZ30</f>
        <v>7000</v>
      </c>
      <c r="BA23" s="167">
        <f>'5_Costs'!BA30</f>
        <v>7000</v>
      </c>
    </row>
    <row r="24" ht="14.25" customHeight="1">
      <c r="A24" s="7" t="s">
        <v>710</v>
      </c>
      <c r="B24" s="167">
        <f>'5_Costs'!B35</f>
        <v>92</v>
      </c>
      <c r="C24" s="167">
        <f>'5_Costs'!C35</f>
        <v>92</v>
      </c>
      <c r="D24" s="167">
        <f>'5_Costs'!D35</f>
        <v>92</v>
      </c>
      <c r="E24" s="167">
        <f>'5_Costs'!E35</f>
        <v>92</v>
      </c>
      <c r="F24" s="167">
        <f>'5_Costs'!F35</f>
        <v>750</v>
      </c>
      <c r="G24" s="167">
        <f>'5_Costs'!G35</f>
        <v>750</v>
      </c>
      <c r="H24" s="167">
        <f>'5_Costs'!H35</f>
        <v>750</v>
      </c>
      <c r="I24" s="167">
        <f>'5_Costs'!I35</f>
        <v>750</v>
      </c>
      <c r="J24" s="167">
        <f>'5_Costs'!J35</f>
        <v>750</v>
      </c>
      <c r="K24" s="167">
        <f>'5_Costs'!K35</f>
        <v>750</v>
      </c>
      <c r="L24" s="167">
        <f>'5_Costs'!L35</f>
        <v>750</v>
      </c>
      <c r="M24" s="167">
        <f>'5_Costs'!M35</f>
        <v>750</v>
      </c>
      <c r="N24" s="167">
        <f>'5_Costs'!N35</f>
        <v>750</v>
      </c>
      <c r="O24" s="167">
        <f>'5_Costs'!O35</f>
        <v>750</v>
      </c>
      <c r="P24" s="167">
        <f>'5_Costs'!P35</f>
        <v>750</v>
      </c>
      <c r="Q24" s="167">
        <f>'5_Costs'!Q35</f>
        <v>750</v>
      </c>
      <c r="R24" s="167">
        <f>'5_Costs'!R35</f>
        <v>1150</v>
      </c>
      <c r="S24" s="167">
        <f>'5_Costs'!S35</f>
        <v>1150</v>
      </c>
      <c r="T24" s="167">
        <f>'5_Costs'!T35</f>
        <v>1150</v>
      </c>
      <c r="U24" s="167">
        <f>'5_Costs'!U35</f>
        <v>1150</v>
      </c>
      <c r="V24" s="167">
        <f>'5_Costs'!V35</f>
        <v>1150</v>
      </c>
      <c r="W24" s="167">
        <f>'5_Costs'!W35</f>
        <v>1150</v>
      </c>
      <c r="X24" s="167">
        <f>'5_Costs'!X35</f>
        <v>1150</v>
      </c>
      <c r="Y24" s="167">
        <f>'5_Costs'!Y35</f>
        <v>1150</v>
      </c>
      <c r="Z24" s="167">
        <f>'5_Costs'!Z35</f>
        <v>1150</v>
      </c>
      <c r="AA24" s="167">
        <f>'5_Costs'!AA35</f>
        <v>1150</v>
      </c>
      <c r="AB24" s="167">
        <f>'5_Costs'!AB35</f>
        <v>1150</v>
      </c>
      <c r="AC24" s="167">
        <f>'5_Costs'!AC35</f>
        <v>1150</v>
      </c>
      <c r="AD24" s="167">
        <f>'5_Costs'!AD35</f>
        <v>1500</v>
      </c>
      <c r="AE24" s="167">
        <f>'5_Costs'!AE35</f>
        <v>1500</v>
      </c>
      <c r="AF24" s="167">
        <f>'5_Costs'!AF35</f>
        <v>1500</v>
      </c>
      <c r="AG24" s="167">
        <f>'5_Costs'!AG35</f>
        <v>1500</v>
      </c>
      <c r="AH24" s="167">
        <f>'5_Costs'!AH35</f>
        <v>1500</v>
      </c>
      <c r="AI24" s="167">
        <f>'5_Costs'!AI35</f>
        <v>1500</v>
      </c>
      <c r="AJ24" s="167">
        <f>'5_Costs'!AJ35</f>
        <v>1500</v>
      </c>
      <c r="AK24" s="167">
        <f>'5_Costs'!AK35</f>
        <v>1500</v>
      </c>
      <c r="AL24" s="167">
        <f>'5_Costs'!AL35</f>
        <v>1500</v>
      </c>
      <c r="AM24" s="167">
        <f>'5_Costs'!AM35</f>
        <v>1500</v>
      </c>
      <c r="AN24" s="167">
        <f>'5_Costs'!AN35</f>
        <v>1500</v>
      </c>
      <c r="AO24" s="167">
        <f>'5_Costs'!AO35</f>
        <v>1500</v>
      </c>
      <c r="AP24" s="167">
        <f>'5_Costs'!AP35</f>
        <v>1850</v>
      </c>
      <c r="AQ24" s="167">
        <f>'5_Costs'!AQ35</f>
        <v>1850</v>
      </c>
      <c r="AR24" s="167">
        <f>'5_Costs'!AR35</f>
        <v>1850</v>
      </c>
      <c r="AS24" s="167">
        <f>'5_Costs'!AS35</f>
        <v>1850</v>
      </c>
      <c r="AT24" s="167">
        <f>'5_Costs'!AT35</f>
        <v>1850</v>
      </c>
      <c r="AU24" s="167">
        <f>'5_Costs'!AU35</f>
        <v>1850</v>
      </c>
      <c r="AV24" s="167">
        <f>'5_Costs'!AV35</f>
        <v>1850</v>
      </c>
      <c r="AW24" s="167">
        <f>'5_Costs'!AW35</f>
        <v>1850</v>
      </c>
      <c r="AX24" s="167">
        <f>'5_Costs'!AX35</f>
        <v>1850</v>
      </c>
      <c r="AY24" s="167">
        <f>'5_Costs'!AY35</f>
        <v>1850</v>
      </c>
      <c r="AZ24" s="167">
        <f>'5_Costs'!AZ35</f>
        <v>1850</v>
      </c>
      <c r="BA24" s="167">
        <f>'5_Costs'!BA35</f>
        <v>1850</v>
      </c>
    </row>
    <row r="25" ht="14.25" customHeight="1">
      <c r="A25" s="7" t="s">
        <v>711</v>
      </c>
      <c r="B25" s="167">
        <f>'5_Costs'!B40</f>
        <v>1633.333333</v>
      </c>
      <c r="C25" s="167">
        <f>'5_Costs'!C40</f>
        <v>1633.333333</v>
      </c>
      <c r="D25" s="167">
        <f>'5_Costs'!D40</f>
        <v>1633.333333</v>
      </c>
      <c r="E25" s="167">
        <f>'5_Costs'!E40</f>
        <v>1633.333333</v>
      </c>
      <c r="F25" s="167">
        <f>'5_Costs'!F40</f>
        <v>3133.333333</v>
      </c>
      <c r="G25" s="167">
        <f>'5_Costs'!G40</f>
        <v>3133.333333</v>
      </c>
      <c r="H25" s="167">
        <f>'5_Costs'!H40</f>
        <v>3188.533333</v>
      </c>
      <c r="I25" s="167">
        <f>'5_Costs'!I40</f>
        <v>3188.533333</v>
      </c>
      <c r="J25" s="167">
        <f>'5_Costs'!J40</f>
        <v>3188.533333</v>
      </c>
      <c r="K25" s="167">
        <f>'5_Costs'!K40</f>
        <v>3188.533333</v>
      </c>
      <c r="L25" s="167">
        <f>'5_Costs'!L40</f>
        <v>3243.733333</v>
      </c>
      <c r="M25" s="167">
        <f>'5_Costs'!M40</f>
        <v>3243.733333</v>
      </c>
      <c r="N25" s="167">
        <f>'5_Costs'!N40</f>
        <v>3305.557333</v>
      </c>
      <c r="O25" s="167">
        <f>'5_Costs'!O40</f>
        <v>3305.557333</v>
      </c>
      <c r="P25" s="167">
        <f>'5_Costs'!P40</f>
        <v>3305.557333</v>
      </c>
      <c r="Q25" s="167">
        <f>'5_Costs'!Q40</f>
        <v>3305.557333</v>
      </c>
      <c r="R25" s="167">
        <f>'5_Costs'!R40</f>
        <v>6222.224</v>
      </c>
      <c r="S25" s="167">
        <f>'5_Costs'!S40</f>
        <v>6486.8</v>
      </c>
      <c r="T25" s="167">
        <f>'5_Costs'!T40</f>
        <v>6866.192</v>
      </c>
      <c r="U25" s="167">
        <f>'5_Costs'!U40</f>
        <v>6981.008</v>
      </c>
      <c r="V25" s="167">
        <f>'5_Costs'!V40</f>
        <v>7245.584</v>
      </c>
      <c r="W25" s="167">
        <f>'5_Costs'!W40</f>
        <v>7245.584</v>
      </c>
      <c r="X25" s="167">
        <f>'5_Costs'!X40</f>
        <v>7946.96</v>
      </c>
      <c r="Y25" s="167">
        <f>'5_Costs'!Y40</f>
        <v>8022.602667</v>
      </c>
      <c r="Z25" s="167">
        <f>'5_Costs'!Z40</f>
        <v>8651.824853</v>
      </c>
      <c r="AA25" s="167">
        <f>'5_Costs'!AA40</f>
        <v>8957.052373</v>
      </c>
      <c r="AB25" s="167">
        <f>'5_Costs'!AB40</f>
        <v>9035.720747</v>
      </c>
      <c r="AC25" s="167">
        <f>'5_Costs'!AC40</f>
        <v>9024.255787</v>
      </c>
      <c r="AD25" s="167">
        <f>'5_Costs'!AD40</f>
        <v>15346.12416</v>
      </c>
      <c r="AE25" s="167">
        <f>'5_Costs'!AE40</f>
        <v>15975.11061</v>
      </c>
      <c r="AF25" s="167">
        <f>'5_Costs'!AF40</f>
        <v>16262.16725</v>
      </c>
      <c r="AG25" s="167">
        <f>'5_Costs'!AG40</f>
        <v>16801.02037</v>
      </c>
      <c r="AH25" s="167">
        <f>'5_Costs'!AH40</f>
        <v>17806.40363</v>
      </c>
      <c r="AI25" s="167">
        <f>'5_Costs'!AI40</f>
        <v>17784.98795</v>
      </c>
      <c r="AJ25" s="167">
        <f>'5_Costs'!AJ40</f>
        <v>18313.89035</v>
      </c>
      <c r="AK25" s="167">
        <f>'5_Costs'!AK40</f>
        <v>18490.55168</v>
      </c>
      <c r="AL25" s="167">
        <f>'5_Costs'!AL40</f>
        <v>18886.92203</v>
      </c>
      <c r="AM25" s="167">
        <f>'5_Costs'!AM40</f>
        <v>19897.49984</v>
      </c>
      <c r="AN25" s="167">
        <f>'5_Costs'!AN40</f>
        <v>20435.63478</v>
      </c>
      <c r="AO25" s="167">
        <f>'5_Costs'!AO40</f>
        <v>21016.9645</v>
      </c>
      <c r="AP25" s="167">
        <f>'5_Costs'!AP40</f>
        <v>26803.46941</v>
      </c>
      <c r="AQ25" s="167">
        <f>'5_Costs'!AQ40</f>
        <v>27982.62684</v>
      </c>
      <c r="AR25" s="167">
        <f>'5_Costs'!AR40</f>
        <v>28738.31048</v>
      </c>
      <c r="AS25" s="167">
        <f>'5_Costs'!AS40</f>
        <v>29431.90162</v>
      </c>
      <c r="AT25" s="167">
        <f>'5_Costs'!AT40</f>
        <v>30443.30434</v>
      </c>
      <c r="AU25" s="167">
        <f>'5_Costs'!AU40</f>
        <v>31279.97818</v>
      </c>
      <c r="AV25" s="167">
        <f>'5_Costs'!AV40</f>
        <v>32197.64223</v>
      </c>
      <c r="AW25" s="167">
        <f>'5_Costs'!AW40</f>
        <v>32838.51475</v>
      </c>
      <c r="AX25" s="167">
        <f>'5_Costs'!AX40</f>
        <v>34517.0818</v>
      </c>
      <c r="AY25" s="167">
        <f>'5_Costs'!AY40</f>
        <v>35655.27619</v>
      </c>
      <c r="AZ25" s="167">
        <f>'5_Costs'!AZ40</f>
        <v>36599.742</v>
      </c>
      <c r="BA25" s="167">
        <f>'5_Costs'!BA40</f>
        <v>37595.52561</v>
      </c>
    </row>
    <row r="26" ht="14.25" customHeight="1">
      <c r="A26" s="7" t="s">
        <v>712</v>
      </c>
      <c r="B26" s="167">
        <f>'5_Costs'!B45</f>
        <v>350</v>
      </c>
      <c r="C26" s="167">
        <f>'5_Costs'!C45</f>
        <v>350</v>
      </c>
      <c r="D26" s="167">
        <f>'5_Costs'!D45</f>
        <v>350</v>
      </c>
      <c r="E26" s="167">
        <f>'5_Costs'!E45</f>
        <v>350</v>
      </c>
      <c r="F26" s="167">
        <f>'5_Costs'!F45</f>
        <v>1650</v>
      </c>
      <c r="G26" s="167">
        <f>'5_Costs'!G45</f>
        <v>1650</v>
      </c>
      <c r="H26" s="167">
        <f>'5_Costs'!H45</f>
        <v>1650</v>
      </c>
      <c r="I26" s="167">
        <f>'5_Costs'!I45</f>
        <v>1650</v>
      </c>
      <c r="J26" s="167">
        <f>'5_Costs'!J45</f>
        <v>1650</v>
      </c>
      <c r="K26" s="167">
        <f>'5_Costs'!K45</f>
        <v>1750</v>
      </c>
      <c r="L26" s="167">
        <f>'5_Costs'!L45</f>
        <v>1750</v>
      </c>
      <c r="M26" s="167">
        <f>'5_Costs'!M45</f>
        <v>1750</v>
      </c>
      <c r="N26" s="167">
        <f>'5_Costs'!N45</f>
        <v>1750</v>
      </c>
      <c r="O26" s="167">
        <f>'5_Costs'!O45</f>
        <v>1850</v>
      </c>
      <c r="P26" s="167">
        <f>'5_Costs'!P45</f>
        <v>1850</v>
      </c>
      <c r="Q26" s="167">
        <f>'5_Costs'!Q45</f>
        <v>1850</v>
      </c>
      <c r="R26" s="167">
        <f>'5_Costs'!R45</f>
        <v>3700</v>
      </c>
      <c r="S26" s="167">
        <f>'5_Costs'!S45</f>
        <v>3700</v>
      </c>
      <c r="T26" s="167">
        <f>'5_Costs'!T45</f>
        <v>3700</v>
      </c>
      <c r="U26" s="167">
        <f>'5_Costs'!U45</f>
        <v>3700</v>
      </c>
      <c r="V26" s="167">
        <f>'5_Costs'!V45</f>
        <v>3700</v>
      </c>
      <c r="W26" s="167">
        <f>'5_Costs'!W45</f>
        <v>3800</v>
      </c>
      <c r="X26" s="167">
        <f>'5_Costs'!X45</f>
        <v>3800</v>
      </c>
      <c r="Y26" s="167">
        <f>'5_Costs'!Y45</f>
        <v>3800</v>
      </c>
      <c r="Z26" s="167">
        <f>'5_Costs'!Z45</f>
        <v>3900</v>
      </c>
      <c r="AA26" s="167">
        <f>'5_Costs'!AA45</f>
        <v>3900</v>
      </c>
      <c r="AB26" s="167">
        <f>'5_Costs'!AB45</f>
        <v>3900</v>
      </c>
      <c r="AC26" s="167">
        <f>'5_Costs'!AC45</f>
        <v>3900</v>
      </c>
      <c r="AD26" s="167">
        <f>'5_Costs'!AD45</f>
        <v>6150</v>
      </c>
      <c r="AE26" s="167">
        <f>'5_Costs'!AE45</f>
        <v>6150</v>
      </c>
      <c r="AF26" s="167">
        <f>'5_Costs'!AF45</f>
        <v>6150</v>
      </c>
      <c r="AG26" s="167">
        <f>'5_Costs'!AG45</f>
        <v>6150</v>
      </c>
      <c r="AH26" s="167">
        <f>'5_Costs'!AH45</f>
        <v>6150</v>
      </c>
      <c r="AI26" s="167">
        <f>'5_Costs'!AI45</f>
        <v>6150</v>
      </c>
      <c r="AJ26" s="167">
        <f>'5_Costs'!AJ45</f>
        <v>6150</v>
      </c>
      <c r="AK26" s="167">
        <f>'5_Costs'!AK45</f>
        <v>6150</v>
      </c>
      <c r="AL26" s="167">
        <f>'5_Costs'!AL45</f>
        <v>6150</v>
      </c>
      <c r="AM26" s="167">
        <f>'5_Costs'!AM45</f>
        <v>6150</v>
      </c>
      <c r="AN26" s="167">
        <f>'5_Costs'!AN45</f>
        <v>6150</v>
      </c>
      <c r="AO26" s="167">
        <f>'5_Costs'!AO45</f>
        <v>6150</v>
      </c>
      <c r="AP26" s="167">
        <f>'5_Costs'!AP45</f>
        <v>8400</v>
      </c>
      <c r="AQ26" s="167">
        <f>'5_Costs'!AQ45</f>
        <v>8400</v>
      </c>
      <c r="AR26" s="167">
        <f>'5_Costs'!AR45</f>
        <v>8400</v>
      </c>
      <c r="AS26" s="167">
        <f>'5_Costs'!AS45</f>
        <v>8400</v>
      </c>
      <c r="AT26" s="167">
        <f>'5_Costs'!AT45</f>
        <v>8400</v>
      </c>
      <c r="AU26" s="167">
        <f>'5_Costs'!AU45</f>
        <v>8400</v>
      </c>
      <c r="AV26" s="167">
        <f>'5_Costs'!AV45</f>
        <v>8400</v>
      </c>
      <c r="AW26" s="167">
        <f>'5_Costs'!AW45</f>
        <v>8400</v>
      </c>
      <c r="AX26" s="167">
        <f>'5_Costs'!AX45</f>
        <v>8400</v>
      </c>
      <c r="AY26" s="167">
        <f>'5_Costs'!AY45</f>
        <v>8400</v>
      </c>
      <c r="AZ26" s="167">
        <f>'5_Costs'!AZ45</f>
        <v>8400</v>
      </c>
      <c r="BA26" s="167">
        <f>'5_Costs'!BA45</f>
        <v>8400</v>
      </c>
    </row>
    <row r="27" ht="14.25" customHeight="1">
      <c r="A27" s="8" t="s">
        <v>713</v>
      </c>
      <c r="B27" s="166">
        <f t="shared" ref="B27:BA27" si="5">SUM(B20:B26)</f>
        <v>2075.333333</v>
      </c>
      <c r="C27" s="166">
        <f t="shared" si="5"/>
        <v>2075.333333</v>
      </c>
      <c r="D27" s="166">
        <f t="shared" si="5"/>
        <v>2075.333333</v>
      </c>
      <c r="E27" s="166">
        <f t="shared" si="5"/>
        <v>2075.333333</v>
      </c>
      <c r="F27" s="166">
        <f t="shared" si="5"/>
        <v>33133.33333</v>
      </c>
      <c r="G27" s="166">
        <f t="shared" si="5"/>
        <v>40947.33333</v>
      </c>
      <c r="H27" s="166">
        <f t="shared" si="5"/>
        <v>41542.53333</v>
      </c>
      <c r="I27" s="166">
        <f t="shared" si="5"/>
        <v>41542.53333</v>
      </c>
      <c r="J27" s="166">
        <f t="shared" si="5"/>
        <v>41542.53333</v>
      </c>
      <c r="K27" s="166">
        <f t="shared" si="5"/>
        <v>50161.53333</v>
      </c>
      <c r="L27" s="166">
        <f t="shared" si="5"/>
        <v>57859.06667</v>
      </c>
      <c r="M27" s="166">
        <f t="shared" si="5"/>
        <v>57859.06667</v>
      </c>
      <c r="N27" s="166">
        <f t="shared" si="5"/>
        <v>59134.94067</v>
      </c>
      <c r="O27" s="166">
        <f t="shared" si="5"/>
        <v>69856.30733</v>
      </c>
      <c r="P27" s="166">
        <f t="shared" si="5"/>
        <v>69856.30733</v>
      </c>
      <c r="Q27" s="166">
        <f t="shared" si="5"/>
        <v>69856.30733</v>
      </c>
      <c r="R27" s="166">
        <f t="shared" si="5"/>
        <v>130162.974</v>
      </c>
      <c r="S27" s="166">
        <f t="shared" si="5"/>
        <v>82587.55</v>
      </c>
      <c r="T27" s="166">
        <f t="shared" si="5"/>
        <v>101654.7087</v>
      </c>
      <c r="U27" s="166">
        <f t="shared" si="5"/>
        <v>102849.5247</v>
      </c>
      <c r="V27" s="166">
        <f t="shared" si="5"/>
        <v>113416.8507</v>
      </c>
      <c r="W27" s="166">
        <f t="shared" si="5"/>
        <v>121973.7507</v>
      </c>
      <c r="X27" s="166">
        <f t="shared" si="5"/>
        <v>128615.1267</v>
      </c>
      <c r="Y27" s="166">
        <f t="shared" si="5"/>
        <v>134575.6027</v>
      </c>
      <c r="Z27" s="166">
        <f t="shared" si="5"/>
        <v>150400.1519</v>
      </c>
      <c r="AA27" s="166">
        <f t="shared" si="5"/>
        <v>153315.3794</v>
      </c>
      <c r="AB27" s="166">
        <f t="shared" si="5"/>
        <v>153754.0477</v>
      </c>
      <c r="AC27" s="166">
        <f t="shared" si="5"/>
        <v>153652.5828</v>
      </c>
      <c r="AD27" s="166">
        <f t="shared" si="5"/>
        <v>267984.4512</v>
      </c>
      <c r="AE27" s="166">
        <f t="shared" si="5"/>
        <v>173293.4376</v>
      </c>
      <c r="AF27" s="166">
        <f t="shared" si="5"/>
        <v>176190.4943</v>
      </c>
      <c r="AG27" s="166">
        <f t="shared" si="5"/>
        <v>180959.3474</v>
      </c>
      <c r="AH27" s="166">
        <f t="shared" si="5"/>
        <v>189884.7306</v>
      </c>
      <c r="AI27" s="166">
        <f t="shared" si="5"/>
        <v>189683.3149</v>
      </c>
      <c r="AJ27" s="166">
        <f t="shared" si="5"/>
        <v>194352.2173</v>
      </c>
      <c r="AK27" s="166">
        <f t="shared" si="5"/>
        <v>195788.8787</v>
      </c>
      <c r="AL27" s="166">
        <f t="shared" si="5"/>
        <v>199923.2288</v>
      </c>
      <c r="AM27" s="166">
        <f t="shared" si="5"/>
        <v>208763.8067</v>
      </c>
      <c r="AN27" s="166">
        <f t="shared" si="5"/>
        <v>213351.9416</v>
      </c>
      <c r="AO27" s="166">
        <f t="shared" si="5"/>
        <v>218523.2713</v>
      </c>
      <c r="AP27" s="166">
        <f t="shared" si="5"/>
        <v>341119.7762</v>
      </c>
      <c r="AQ27" s="166">
        <f t="shared" si="5"/>
        <v>251028.9337</v>
      </c>
      <c r="AR27" s="166">
        <f t="shared" si="5"/>
        <v>257904.6173</v>
      </c>
      <c r="AS27" s="166">
        <f t="shared" si="5"/>
        <v>264178.2084</v>
      </c>
      <c r="AT27" s="166">
        <f t="shared" si="5"/>
        <v>272839.6111</v>
      </c>
      <c r="AU27" s="166">
        <f t="shared" si="5"/>
        <v>280336.285</v>
      </c>
      <c r="AV27" s="166">
        <f t="shared" si="5"/>
        <v>288453.949</v>
      </c>
      <c r="AW27" s="166">
        <f t="shared" si="5"/>
        <v>293864.8216</v>
      </c>
      <c r="AX27" s="166">
        <f t="shared" si="5"/>
        <v>306103.0078</v>
      </c>
      <c r="AY27" s="166">
        <f t="shared" si="5"/>
        <v>315791.2022</v>
      </c>
      <c r="AZ27" s="166">
        <f t="shared" si="5"/>
        <v>323665.668</v>
      </c>
      <c r="BA27" s="166">
        <f t="shared" si="5"/>
        <v>332221.4516</v>
      </c>
    </row>
    <row r="28" ht="14.25" customHeight="1">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7"/>
      <c r="AX28" s="167"/>
      <c r="AY28" s="167"/>
      <c r="AZ28" s="167"/>
      <c r="BA28" s="167"/>
    </row>
    <row r="29" ht="14.25" customHeight="1">
      <c r="A29" s="8" t="s">
        <v>714</v>
      </c>
      <c r="B29" s="166">
        <f t="shared" ref="B29:BA29" si="6">B16-B27</f>
        <v>-2075.333333</v>
      </c>
      <c r="C29" s="166">
        <f t="shared" si="6"/>
        <v>-2075.333333</v>
      </c>
      <c r="D29" s="166">
        <f t="shared" si="6"/>
        <v>-2075.333333</v>
      </c>
      <c r="E29" s="166">
        <f t="shared" si="6"/>
        <v>-2075.333333</v>
      </c>
      <c r="F29" s="166">
        <f t="shared" si="6"/>
        <v>-33433.33333</v>
      </c>
      <c r="G29" s="166">
        <f t="shared" si="6"/>
        <v>-41347.33333</v>
      </c>
      <c r="H29" s="166">
        <f t="shared" si="6"/>
        <v>-9791.533333</v>
      </c>
      <c r="I29" s="166">
        <f t="shared" si="6"/>
        <v>-39791.53333</v>
      </c>
      <c r="J29" s="166">
        <f t="shared" si="6"/>
        <v>-39791.53333</v>
      </c>
      <c r="K29" s="166">
        <f t="shared" si="6"/>
        <v>-48510.53333</v>
      </c>
      <c r="L29" s="166">
        <f t="shared" si="6"/>
        <v>-24157.06667</v>
      </c>
      <c r="M29" s="166">
        <f t="shared" si="6"/>
        <v>-54157.06667</v>
      </c>
      <c r="N29" s="166">
        <f t="shared" si="6"/>
        <v>-22959.02067</v>
      </c>
      <c r="O29" s="166">
        <f t="shared" si="6"/>
        <v>-63880.38733</v>
      </c>
      <c r="P29" s="166">
        <f t="shared" si="6"/>
        <v>-63880.38733</v>
      </c>
      <c r="Q29" s="166">
        <f t="shared" si="6"/>
        <v>-63880.38733</v>
      </c>
      <c r="R29" s="166">
        <f t="shared" si="6"/>
        <v>-124987.054</v>
      </c>
      <c r="S29" s="166">
        <f t="shared" si="6"/>
        <v>-6673.55</v>
      </c>
      <c r="T29" s="166">
        <f t="shared" si="6"/>
        <v>49114.65133</v>
      </c>
      <c r="U29" s="166">
        <f t="shared" si="6"/>
        <v>-7562.884667</v>
      </c>
      <c r="V29" s="166">
        <f t="shared" si="6"/>
        <v>-7592.130667</v>
      </c>
      <c r="W29" s="166">
        <f t="shared" si="6"/>
        <v>-76349.03067</v>
      </c>
      <c r="X29" s="166">
        <f t="shared" si="6"/>
        <v>155261.6733</v>
      </c>
      <c r="Y29" s="166">
        <f t="shared" si="6"/>
        <v>-27571.22267</v>
      </c>
      <c r="Z29" s="166">
        <f t="shared" si="6"/>
        <v>72758.80975</v>
      </c>
      <c r="AA29" s="166">
        <f t="shared" si="6"/>
        <v>82113.42383</v>
      </c>
      <c r="AB29" s="166">
        <f t="shared" si="6"/>
        <v>-4850.161347</v>
      </c>
      <c r="AC29" s="166">
        <f t="shared" si="6"/>
        <v>-35217.61319</v>
      </c>
      <c r="AD29" s="166">
        <f t="shared" si="6"/>
        <v>-150718.3984</v>
      </c>
      <c r="AE29" s="166">
        <f t="shared" si="6"/>
        <v>119955.7048</v>
      </c>
      <c r="AF29" s="166">
        <f t="shared" si="6"/>
        <v>128442.6593</v>
      </c>
      <c r="AG29" s="166">
        <f t="shared" si="6"/>
        <v>115712.8958</v>
      </c>
      <c r="AH29" s="166">
        <f t="shared" si="6"/>
        <v>327879.9462</v>
      </c>
      <c r="AI29" s="166">
        <f t="shared" si="6"/>
        <v>27217.34745</v>
      </c>
      <c r="AJ29" s="166">
        <f t="shared" si="6"/>
        <v>164192.4371</v>
      </c>
      <c r="AK29" s="166">
        <f t="shared" si="6"/>
        <v>140108.0157</v>
      </c>
      <c r="AL29" s="166">
        <f t="shared" si="6"/>
        <v>153946.72</v>
      </c>
      <c r="AM29" s="166">
        <f t="shared" si="6"/>
        <v>366541.8108</v>
      </c>
      <c r="AN29" s="166">
        <f t="shared" si="6"/>
        <v>234137.754</v>
      </c>
      <c r="AO29" s="166">
        <f t="shared" si="6"/>
        <v>312716.2479</v>
      </c>
      <c r="AP29" s="166">
        <f t="shared" si="6"/>
        <v>281551.8573</v>
      </c>
      <c r="AQ29" s="166">
        <f t="shared" si="6"/>
        <v>540396.6249</v>
      </c>
      <c r="AR29" s="166">
        <f t="shared" si="6"/>
        <v>474240.5185</v>
      </c>
      <c r="AS29" s="166">
        <f t="shared" si="6"/>
        <v>466199.4955</v>
      </c>
      <c r="AT29" s="166">
        <f t="shared" si="6"/>
        <v>559193.9753</v>
      </c>
      <c r="AU29" s="166">
        <f t="shared" si="6"/>
        <v>555825.1513</v>
      </c>
      <c r="AV29" s="166">
        <f t="shared" si="6"/>
        <v>585243.6097</v>
      </c>
      <c r="AW29" s="166">
        <f t="shared" si="6"/>
        <v>546305.2724</v>
      </c>
      <c r="AX29" s="166">
        <f t="shared" si="6"/>
        <v>727797.2301</v>
      </c>
      <c r="AY29" s="166">
        <f t="shared" si="6"/>
        <v>825046.0121</v>
      </c>
      <c r="AZ29" s="166">
        <f t="shared" si="6"/>
        <v>766284.2546</v>
      </c>
      <c r="BA29" s="166">
        <f t="shared" si="6"/>
        <v>798712.9218</v>
      </c>
    </row>
    <row r="30" ht="14.25" customHeight="1">
      <c r="A30" s="7" t="s">
        <v>715</v>
      </c>
      <c r="B30" s="158">
        <f t="shared" ref="B30:BA30" si="7">IFERROR(B29/B8,0)</f>
        <v>0</v>
      </c>
      <c r="C30" s="158">
        <f t="shared" si="7"/>
        <v>0</v>
      </c>
      <c r="D30" s="158">
        <f t="shared" si="7"/>
        <v>0</v>
      </c>
      <c r="E30" s="158">
        <f t="shared" si="7"/>
        <v>0</v>
      </c>
      <c r="F30" s="158">
        <f t="shared" si="7"/>
        <v>0</v>
      </c>
      <c r="G30" s="158">
        <f t="shared" si="7"/>
        <v>0</v>
      </c>
      <c r="H30" s="158">
        <f t="shared" si="7"/>
        <v>-0.2988868539</v>
      </c>
      <c r="I30" s="158">
        <f t="shared" si="7"/>
        <v>-14.41722222</v>
      </c>
      <c r="J30" s="158">
        <f t="shared" si="7"/>
        <v>-14.41722222</v>
      </c>
      <c r="K30" s="158">
        <f t="shared" si="7"/>
        <v>-17.57628019</v>
      </c>
      <c r="L30" s="158">
        <f t="shared" si="7"/>
        <v>-0.6800975976</v>
      </c>
      <c r="M30" s="158">
        <f t="shared" si="7"/>
        <v>-9.811062802</v>
      </c>
      <c r="N30" s="158">
        <f t="shared" si="7"/>
        <v>-0.5946207491</v>
      </c>
      <c r="O30" s="158">
        <f t="shared" si="7"/>
        <v>-7.418290985</v>
      </c>
      <c r="P30" s="158">
        <f t="shared" si="7"/>
        <v>-7.418290985</v>
      </c>
      <c r="Q30" s="158">
        <f t="shared" si="7"/>
        <v>-7.418290985</v>
      </c>
      <c r="R30" s="158">
        <f t="shared" si="7"/>
        <v>-14.5144758</v>
      </c>
      <c r="S30" s="158">
        <f t="shared" si="7"/>
        <v>-0.08154386608</v>
      </c>
      <c r="T30" s="158">
        <f t="shared" si="7"/>
        <v>0.3054211399</v>
      </c>
      <c r="U30" s="158">
        <f t="shared" si="7"/>
        <v>-0.07097941131</v>
      </c>
      <c r="V30" s="158">
        <f t="shared" si="7"/>
        <v>-0.06338438282</v>
      </c>
      <c r="W30" s="158">
        <f t="shared" si="7"/>
        <v>-1.277183881</v>
      </c>
      <c r="X30" s="158">
        <f t="shared" si="7"/>
        <v>0.509308486</v>
      </c>
      <c r="Y30" s="158">
        <f t="shared" si="7"/>
        <v>-0.2143449746</v>
      </c>
      <c r="Z30" s="158">
        <f t="shared" si="7"/>
        <v>0.2909290584</v>
      </c>
      <c r="AA30" s="158">
        <f t="shared" si="7"/>
        <v>0.309450211</v>
      </c>
      <c r="AB30" s="158">
        <f t="shared" si="7"/>
        <v>-0.02705264403</v>
      </c>
      <c r="AC30" s="158">
        <f t="shared" si="7"/>
        <v>-0.2368163044</v>
      </c>
      <c r="AD30" s="158">
        <f t="shared" si="7"/>
        <v>-1.017408296</v>
      </c>
      <c r="AE30" s="158">
        <f t="shared" si="7"/>
        <v>0.3639555758</v>
      </c>
      <c r="AF30" s="158">
        <f t="shared" si="7"/>
        <v>0.3734431179</v>
      </c>
      <c r="AG30" s="158">
        <f t="shared" si="7"/>
        <v>0.3394491274</v>
      </c>
      <c r="AH30" s="158">
        <f t="shared" si="7"/>
        <v>0.5740662322</v>
      </c>
      <c r="AI30" s="158">
        <f t="shared" si="7"/>
        <v>0.1007741124</v>
      </c>
      <c r="AJ30" s="158">
        <f t="shared" si="7"/>
        <v>0.3941931777</v>
      </c>
      <c r="AK30" s="158">
        <f t="shared" si="7"/>
        <v>0.354380035</v>
      </c>
      <c r="AL30" s="158">
        <f t="shared" si="7"/>
        <v>0.3707956298</v>
      </c>
      <c r="AM30" s="158">
        <f t="shared" si="7"/>
        <v>0.5676584864</v>
      </c>
      <c r="AN30" s="158">
        <f t="shared" si="7"/>
        <v>0.4480118664</v>
      </c>
      <c r="AO30" s="158">
        <f t="shared" si="7"/>
        <v>0.5112402748</v>
      </c>
      <c r="AP30" s="158">
        <f t="shared" si="7"/>
        <v>0.3959903842</v>
      </c>
      <c r="AQ30" s="158">
        <f t="shared" si="7"/>
        <v>0.6072113195</v>
      </c>
      <c r="AR30" s="158">
        <f t="shared" si="7"/>
        <v>0.5660891261</v>
      </c>
      <c r="AS30" s="158">
        <f t="shared" si="7"/>
        <v>0.5533995383</v>
      </c>
      <c r="AT30" s="158">
        <f t="shared" si="7"/>
        <v>0.5867731647</v>
      </c>
      <c r="AU30" s="158">
        <f t="shared" si="7"/>
        <v>0.5760847605</v>
      </c>
      <c r="AV30" s="158">
        <f t="shared" si="7"/>
        <v>0.5790389498</v>
      </c>
      <c r="AW30" s="158">
        <f t="shared" si="7"/>
        <v>0.5558893209</v>
      </c>
      <c r="AX30" s="158">
        <f t="shared" si="7"/>
        <v>0.6133015449</v>
      </c>
      <c r="AY30" s="158">
        <f t="shared" si="7"/>
        <v>0.6328995247</v>
      </c>
      <c r="AZ30" s="158">
        <f t="shared" si="7"/>
        <v>0.6077663673</v>
      </c>
      <c r="BA30" s="158">
        <f t="shared" si="7"/>
        <v>0.609420924</v>
      </c>
    </row>
    <row r="31" ht="14.25" customHeight="1"/>
    <row r="32" ht="14.25" customHeight="1">
      <c r="A32" s="8" t="s">
        <v>716</v>
      </c>
      <c r="B32" s="166">
        <f t="shared" ref="B32:BA32" si="8">B29</f>
        <v>-2075.333333</v>
      </c>
      <c r="C32" s="166">
        <f t="shared" si="8"/>
        <v>-2075.333333</v>
      </c>
      <c r="D32" s="166">
        <f t="shared" si="8"/>
        <v>-2075.333333</v>
      </c>
      <c r="E32" s="166">
        <f t="shared" si="8"/>
        <v>-2075.333333</v>
      </c>
      <c r="F32" s="166">
        <f t="shared" si="8"/>
        <v>-33433.33333</v>
      </c>
      <c r="G32" s="166">
        <f t="shared" si="8"/>
        <v>-41347.33333</v>
      </c>
      <c r="H32" s="166">
        <f t="shared" si="8"/>
        <v>-9791.533333</v>
      </c>
      <c r="I32" s="166">
        <f t="shared" si="8"/>
        <v>-39791.53333</v>
      </c>
      <c r="J32" s="166">
        <f t="shared" si="8"/>
        <v>-39791.53333</v>
      </c>
      <c r="K32" s="166">
        <f t="shared" si="8"/>
        <v>-48510.53333</v>
      </c>
      <c r="L32" s="166">
        <f t="shared" si="8"/>
        <v>-24157.06667</v>
      </c>
      <c r="M32" s="166">
        <f t="shared" si="8"/>
        <v>-54157.06667</v>
      </c>
      <c r="N32" s="166">
        <f t="shared" si="8"/>
        <v>-22959.02067</v>
      </c>
      <c r="O32" s="166">
        <f t="shared" si="8"/>
        <v>-63880.38733</v>
      </c>
      <c r="P32" s="166">
        <f t="shared" si="8"/>
        <v>-63880.38733</v>
      </c>
      <c r="Q32" s="166">
        <f t="shared" si="8"/>
        <v>-63880.38733</v>
      </c>
      <c r="R32" s="166">
        <f t="shared" si="8"/>
        <v>-124987.054</v>
      </c>
      <c r="S32" s="166">
        <f t="shared" si="8"/>
        <v>-6673.55</v>
      </c>
      <c r="T32" s="166">
        <f t="shared" si="8"/>
        <v>49114.65133</v>
      </c>
      <c r="U32" s="166">
        <f t="shared" si="8"/>
        <v>-7562.884667</v>
      </c>
      <c r="V32" s="166">
        <f t="shared" si="8"/>
        <v>-7592.130667</v>
      </c>
      <c r="W32" s="166">
        <f t="shared" si="8"/>
        <v>-76349.03067</v>
      </c>
      <c r="X32" s="166">
        <f t="shared" si="8"/>
        <v>155261.6733</v>
      </c>
      <c r="Y32" s="166">
        <f t="shared" si="8"/>
        <v>-27571.22267</v>
      </c>
      <c r="Z32" s="166">
        <f t="shared" si="8"/>
        <v>72758.80975</v>
      </c>
      <c r="AA32" s="166">
        <f t="shared" si="8"/>
        <v>82113.42383</v>
      </c>
      <c r="AB32" s="166">
        <f t="shared" si="8"/>
        <v>-4850.161347</v>
      </c>
      <c r="AC32" s="166">
        <f t="shared" si="8"/>
        <v>-35217.61319</v>
      </c>
      <c r="AD32" s="166">
        <f t="shared" si="8"/>
        <v>-150718.3984</v>
      </c>
      <c r="AE32" s="166">
        <f t="shared" si="8"/>
        <v>119955.7048</v>
      </c>
      <c r="AF32" s="166">
        <f t="shared" si="8"/>
        <v>128442.6593</v>
      </c>
      <c r="AG32" s="166">
        <f t="shared" si="8"/>
        <v>115712.8958</v>
      </c>
      <c r="AH32" s="166">
        <f t="shared" si="8"/>
        <v>327879.9462</v>
      </c>
      <c r="AI32" s="166">
        <f t="shared" si="8"/>
        <v>27217.34745</v>
      </c>
      <c r="AJ32" s="166">
        <f t="shared" si="8"/>
        <v>164192.4371</v>
      </c>
      <c r="AK32" s="166">
        <f t="shared" si="8"/>
        <v>140108.0157</v>
      </c>
      <c r="AL32" s="166">
        <f t="shared" si="8"/>
        <v>153946.72</v>
      </c>
      <c r="AM32" s="166">
        <f t="shared" si="8"/>
        <v>366541.8108</v>
      </c>
      <c r="AN32" s="166">
        <f t="shared" si="8"/>
        <v>234137.754</v>
      </c>
      <c r="AO32" s="166">
        <f t="shared" si="8"/>
        <v>312716.2479</v>
      </c>
      <c r="AP32" s="166">
        <f t="shared" si="8"/>
        <v>281551.8573</v>
      </c>
      <c r="AQ32" s="166">
        <f t="shared" si="8"/>
        <v>540396.6249</v>
      </c>
      <c r="AR32" s="166">
        <f t="shared" si="8"/>
        <v>474240.5185</v>
      </c>
      <c r="AS32" s="166">
        <f t="shared" si="8"/>
        <v>466199.4955</v>
      </c>
      <c r="AT32" s="166">
        <f t="shared" si="8"/>
        <v>559193.9753</v>
      </c>
      <c r="AU32" s="166">
        <f t="shared" si="8"/>
        <v>555825.1513</v>
      </c>
      <c r="AV32" s="166">
        <f t="shared" si="8"/>
        <v>585243.6097</v>
      </c>
      <c r="AW32" s="166">
        <f t="shared" si="8"/>
        <v>546305.2724</v>
      </c>
      <c r="AX32" s="166">
        <f t="shared" si="8"/>
        <v>727797.2301</v>
      </c>
      <c r="AY32" s="166">
        <f t="shared" si="8"/>
        <v>825046.0121</v>
      </c>
      <c r="AZ32" s="166">
        <f t="shared" si="8"/>
        <v>766284.2546</v>
      </c>
      <c r="BA32" s="166">
        <f t="shared" si="8"/>
        <v>798712.9218</v>
      </c>
    </row>
    <row r="33" ht="14.25" customHeight="1">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167"/>
      <c r="AV33" s="167"/>
      <c r="AW33" s="167"/>
      <c r="AX33" s="167"/>
      <c r="AY33" s="167"/>
      <c r="AZ33" s="167"/>
      <c r="BA33" s="167"/>
    </row>
    <row r="34" ht="14.25" customHeight="1">
      <c r="A34" s="8" t="s">
        <v>717</v>
      </c>
      <c r="B34" s="166">
        <f t="shared" ref="B34:BA34" si="9">B32</f>
        <v>-2075.333333</v>
      </c>
      <c r="C34" s="166">
        <f t="shared" si="9"/>
        <v>-2075.333333</v>
      </c>
      <c r="D34" s="166">
        <f t="shared" si="9"/>
        <v>-2075.333333</v>
      </c>
      <c r="E34" s="166">
        <f t="shared" si="9"/>
        <v>-2075.333333</v>
      </c>
      <c r="F34" s="166">
        <f t="shared" si="9"/>
        <v>-33433.33333</v>
      </c>
      <c r="G34" s="166">
        <f t="shared" si="9"/>
        <v>-41347.33333</v>
      </c>
      <c r="H34" s="166">
        <f t="shared" si="9"/>
        <v>-9791.533333</v>
      </c>
      <c r="I34" s="166">
        <f t="shared" si="9"/>
        <v>-39791.53333</v>
      </c>
      <c r="J34" s="166">
        <f t="shared" si="9"/>
        <v>-39791.53333</v>
      </c>
      <c r="K34" s="166">
        <f t="shared" si="9"/>
        <v>-48510.53333</v>
      </c>
      <c r="L34" s="166">
        <f t="shared" si="9"/>
        <v>-24157.06667</v>
      </c>
      <c r="M34" s="166">
        <f t="shared" si="9"/>
        <v>-54157.06667</v>
      </c>
      <c r="N34" s="166">
        <f t="shared" si="9"/>
        <v>-22959.02067</v>
      </c>
      <c r="O34" s="166">
        <f t="shared" si="9"/>
        <v>-63880.38733</v>
      </c>
      <c r="P34" s="166">
        <f t="shared" si="9"/>
        <v>-63880.38733</v>
      </c>
      <c r="Q34" s="166">
        <f t="shared" si="9"/>
        <v>-63880.38733</v>
      </c>
      <c r="R34" s="166">
        <f t="shared" si="9"/>
        <v>-124987.054</v>
      </c>
      <c r="S34" s="166">
        <f t="shared" si="9"/>
        <v>-6673.55</v>
      </c>
      <c r="T34" s="166">
        <f t="shared" si="9"/>
        <v>49114.65133</v>
      </c>
      <c r="U34" s="166">
        <f t="shared" si="9"/>
        <v>-7562.884667</v>
      </c>
      <c r="V34" s="166">
        <f t="shared" si="9"/>
        <v>-7592.130667</v>
      </c>
      <c r="W34" s="166">
        <f t="shared" si="9"/>
        <v>-76349.03067</v>
      </c>
      <c r="X34" s="166">
        <f t="shared" si="9"/>
        <v>155261.6733</v>
      </c>
      <c r="Y34" s="166">
        <f t="shared" si="9"/>
        <v>-27571.22267</v>
      </c>
      <c r="Z34" s="166">
        <f t="shared" si="9"/>
        <v>72758.80975</v>
      </c>
      <c r="AA34" s="166">
        <f t="shared" si="9"/>
        <v>82113.42383</v>
      </c>
      <c r="AB34" s="166">
        <f t="shared" si="9"/>
        <v>-4850.161347</v>
      </c>
      <c r="AC34" s="166">
        <f t="shared" si="9"/>
        <v>-35217.61319</v>
      </c>
      <c r="AD34" s="166">
        <f t="shared" si="9"/>
        <v>-150718.3984</v>
      </c>
      <c r="AE34" s="166">
        <f t="shared" si="9"/>
        <v>119955.7048</v>
      </c>
      <c r="AF34" s="166">
        <f t="shared" si="9"/>
        <v>128442.6593</v>
      </c>
      <c r="AG34" s="166">
        <f t="shared" si="9"/>
        <v>115712.8958</v>
      </c>
      <c r="AH34" s="166">
        <f t="shared" si="9"/>
        <v>327879.9462</v>
      </c>
      <c r="AI34" s="166">
        <f t="shared" si="9"/>
        <v>27217.34745</v>
      </c>
      <c r="AJ34" s="166">
        <f t="shared" si="9"/>
        <v>164192.4371</v>
      </c>
      <c r="AK34" s="166">
        <f t="shared" si="9"/>
        <v>140108.0157</v>
      </c>
      <c r="AL34" s="166">
        <f t="shared" si="9"/>
        <v>153946.72</v>
      </c>
      <c r="AM34" s="166">
        <f t="shared" si="9"/>
        <v>366541.8108</v>
      </c>
      <c r="AN34" s="166">
        <f t="shared" si="9"/>
        <v>234137.754</v>
      </c>
      <c r="AO34" s="166">
        <f t="shared" si="9"/>
        <v>312716.2479</v>
      </c>
      <c r="AP34" s="166">
        <f t="shared" si="9"/>
        <v>281551.8573</v>
      </c>
      <c r="AQ34" s="166">
        <f t="shared" si="9"/>
        <v>540396.6249</v>
      </c>
      <c r="AR34" s="166">
        <f t="shared" si="9"/>
        <v>474240.5185</v>
      </c>
      <c r="AS34" s="166">
        <f t="shared" si="9"/>
        <v>466199.4955</v>
      </c>
      <c r="AT34" s="166">
        <f t="shared" si="9"/>
        <v>559193.9753</v>
      </c>
      <c r="AU34" s="166">
        <f t="shared" si="9"/>
        <v>555825.1513</v>
      </c>
      <c r="AV34" s="166">
        <f t="shared" si="9"/>
        <v>585243.6097</v>
      </c>
      <c r="AW34" s="166">
        <f t="shared" si="9"/>
        <v>546305.2724</v>
      </c>
      <c r="AX34" s="166">
        <f t="shared" si="9"/>
        <v>727797.2301</v>
      </c>
      <c r="AY34" s="166">
        <f t="shared" si="9"/>
        <v>825046.0121</v>
      </c>
      <c r="AZ34" s="166">
        <f t="shared" si="9"/>
        <v>766284.2546</v>
      </c>
      <c r="BA34" s="166">
        <f t="shared" si="9"/>
        <v>798712.9218</v>
      </c>
    </row>
    <row r="35" ht="14.25" customHeight="1">
      <c r="A35" s="7" t="s">
        <v>718</v>
      </c>
      <c r="B35" s="167">
        <f>IF(B34&gt;0,B34*'2_Inputs'!$B$6,0)</f>
        <v>0</v>
      </c>
      <c r="C35" s="167">
        <f>IF(C34&gt;0,C34*'2_Inputs'!$B$6,0)</f>
        <v>0</v>
      </c>
      <c r="D35" s="167">
        <f>IF(D34&gt;0,D34*'2_Inputs'!$B$6,0)</f>
        <v>0</v>
      </c>
      <c r="E35" s="167">
        <f>IF(E34&gt;0,E34*'2_Inputs'!$B$6,0)</f>
        <v>0</v>
      </c>
      <c r="F35" s="167">
        <f>IF(F34&gt;0,F34*'2_Inputs'!$B$6,0)</f>
        <v>0</v>
      </c>
      <c r="G35" s="167">
        <f>IF(G34&gt;0,G34*'2_Inputs'!$B$6,0)</f>
        <v>0</v>
      </c>
      <c r="H35" s="167">
        <f>IF(H34&gt;0,H34*'2_Inputs'!$B$6,0)</f>
        <v>0</v>
      </c>
      <c r="I35" s="167">
        <f>IF(I34&gt;0,I34*'2_Inputs'!$B$6,0)</f>
        <v>0</v>
      </c>
      <c r="J35" s="167">
        <f>IF(J34&gt;0,J34*'2_Inputs'!$B$6,0)</f>
        <v>0</v>
      </c>
      <c r="K35" s="167">
        <f>IF(K34&gt;0,K34*'2_Inputs'!$B$6,0)</f>
        <v>0</v>
      </c>
      <c r="L35" s="167">
        <f>IF(L34&gt;0,L34*'2_Inputs'!$B$6,0)</f>
        <v>0</v>
      </c>
      <c r="M35" s="167">
        <f>IF(M34&gt;0,M34*'2_Inputs'!$B$6,0)</f>
        <v>0</v>
      </c>
      <c r="N35" s="167">
        <f>IF(N34&gt;0,N34*'2_Inputs'!$B$6,0)</f>
        <v>0</v>
      </c>
      <c r="O35" s="167">
        <f>IF(O34&gt;0,O34*'2_Inputs'!$B$6,0)</f>
        <v>0</v>
      </c>
      <c r="P35" s="167">
        <f>IF(P34&gt;0,P34*'2_Inputs'!$B$6,0)</f>
        <v>0</v>
      </c>
      <c r="Q35" s="167">
        <f>IF(Q34&gt;0,Q34*'2_Inputs'!$B$6,0)</f>
        <v>0</v>
      </c>
      <c r="R35" s="167">
        <f>IF(R34&gt;0,R34*'2_Inputs'!$B$6,0)</f>
        <v>0</v>
      </c>
      <c r="S35" s="167">
        <f>IF(S34&gt;0,S34*'2_Inputs'!$B$6,0)</f>
        <v>0</v>
      </c>
      <c r="T35" s="167">
        <f>IF(T34&gt;0,T34*'2_Inputs'!$B$6,0)</f>
        <v>14734.3954</v>
      </c>
      <c r="U35" s="167">
        <f>IF(U34&gt;0,U34*'2_Inputs'!$B$6,0)</f>
        <v>0</v>
      </c>
      <c r="V35" s="167">
        <f>IF(V34&gt;0,V34*'2_Inputs'!$B$6,0)</f>
        <v>0</v>
      </c>
      <c r="W35" s="167">
        <f>IF(W34&gt;0,W34*'2_Inputs'!$B$6,0)</f>
        <v>0</v>
      </c>
      <c r="X35" s="167">
        <f>IF(X34&gt;0,X34*'2_Inputs'!$B$6,0)</f>
        <v>46578.502</v>
      </c>
      <c r="Y35" s="167">
        <f>IF(Y34&gt;0,Y34*'2_Inputs'!$B$6,0)</f>
        <v>0</v>
      </c>
      <c r="Z35" s="167">
        <f>IF(Z34&gt;0,Z34*'2_Inputs'!$B$6,0)</f>
        <v>21827.64292</v>
      </c>
      <c r="AA35" s="167">
        <f>IF(AA34&gt;0,AA34*'2_Inputs'!$B$6,0)</f>
        <v>24634.02715</v>
      </c>
      <c r="AB35" s="167">
        <f>IF(AB34&gt;0,AB34*'2_Inputs'!$B$6,0)</f>
        <v>0</v>
      </c>
      <c r="AC35" s="167">
        <f>IF(AC34&gt;0,AC34*'2_Inputs'!$B$6,0)</f>
        <v>0</v>
      </c>
      <c r="AD35" s="167">
        <f>IF(AD34&gt;0,AD34*'2_Inputs'!$B$6,0)</f>
        <v>0</v>
      </c>
      <c r="AE35" s="167">
        <f>IF(AE34&gt;0,AE34*'2_Inputs'!$B$6,0)</f>
        <v>35986.71144</v>
      </c>
      <c r="AF35" s="167">
        <f>IF(AF34&gt;0,AF34*'2_Inputs'!$B$6,0)</f>
        <v>38532.7978</v>
      </c>
      <c r="AG35" s="167">
        <f>IF(AG34&gt;0,AG34*'2_Inputs'!$B$6,0)</f>
        <v>34713.86875</v>
      </c>
      <c r="AH35" s="167">
        <f>IF(AH34&gt;0,AH34*'2_Inputs'!$B$6,0)</f>
        <v>98363.98385</v>
      </c>
      <c r="AI35" s="167">
        <f>IF(AI34&gt;0,AI34*'2_Inputs'!$B$6,0)</f>
        <v>8165.204236</v>
      </c>
      <c r="AJ35" s="167">
        <f>IF(AJ34&gt;0,AJ34*'2_Inputs'!$B$6,0)</f>
        <v>49257.73112</v>
      </c>
      <c r="AK35" s="167">
        <f>IF(AK34&gt;0,AK34*'2_Inputs'!$B$6,0)</f>
        <v>42032.40472</v>
      </c>
      <c r="AL35" s="167">
        <f>IF(AL34&gt;0,AL34*'2_Inputs'!$B$6,0)</f>
        <v>46184.01599</v>
      </c>
      <c r="AM35" s="167">
        <f>IF(AM34&gt;0,AM34*'2_Inputs'!$B$6,0)</f>
        <v>109962.5432</v>
      </c>
      <c r="AN35" s="167">
        <f>IF(AN34&gt;0,AN34*'2_Inputs'!$B$6,0)</f>
        <v>70241.32621</v>
      </c>
      <c r="AO35" s="167">
        <f>IF(AO34&gt;0,AO34*'2_Inputs'!$B$6,0)</f>
        <v>93814.87438</v>
      </c>
      <c r="AP35" s="167">
        <f>IF(AP34&gt;0,AP34*'2_Inputs'!$B$6,0)</f>
        <v>84465.5572</v>
      </c>
      <c r="AQ35" s="167">
        <f>IF(AQ34&gt;0,AQ34*'2_Inputs'!$B$6,0)</f>
        <v>162118.9875</v>
      </c>
      <c r="AR35" s="167">
        <f>IF(AR34&gt;0,AR34*'2_Inputs'!$B$6,0)</f>
        <v>142272.1555</v>
      </c>
      <c r="AS35" s="167">
        <f>IF(AS34&gt;0,AS34*'2_Inputs'!$B$6,0)</f>
        <v>139859.8487</v>
      </c>
      <c r="AT35" s="167">
        <f>IF(AT34&gt;0,AT34*'2_Inputs'!$B$6,0)</f>
        <v>167758.1926</v>
      </c>
      <c r="AU35" s="167">
        <f>IF(AU34&gt;0,AU34*'2_Inputs'!$B$6,0)</f>
        <v>166747.5454</v>
      </c>
      <c r="AV35" s="167">
        <f>IF(AV34&gt;0,AV34*'2_Inputs'!$B$6,0)</f>
        <v>175573.0829</v>
      </c>
      <c r="AW35" s="167">
        <f>IF(AW34&gt;0,AW34*'2_Inputs'!$B$6,0)</f>
        <v>163891.5817</v>
      </c>
      <c r="AX35" s="167">
        <f>IF(AX34&gt;0,AX34*'2_Inputs'!$B$6,0)</f>
        <v>218339.169</v>
      </c>
      <c r="AY35" s="167">
        <f>IF(AY34&gt;0,AY34*'2_Inputs'!$B$6,0)</f>
        <v>247513.8036</v>
      </c>
      <c r="AZ35" s="167">
        <f>IF(AZ34&gt;0,AZ34*'2_Inputs'!$B$6,0)</f>
        <v>229885.2764</v>
      </c>
      <c r="BA35" s="167">
        <f>IF(BA34&gt;0,BA34*'2_Inputs'!$B$6,0)</f>
        <v>239613.8765</v>
      </c>
    </row>
    <row r="36" ht="14.25" customHeight="1">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row>
    <row r="37" ht="14.25" customHeight="1">
      <c r="A37" s="8" t="s">
        <v>719</v>
      </c>
      <c r="B37" s="166">
        <f t="shared" ref="B37:BA37" si="10">B34-B35</f>
        <v>-2075.333333</v>
      </c>
      <c r="C37" s="166">
        <f t="shared" si="10"/>
        <v>-2075.333333</v>
      </c>
      <c r="D37" s="166">
        <f t="shared" si="10"/>
        <v>-2075.333333</v>
      </c>
      <c r="E37" s="166">
        <f t="shared" si="10"/>
        <v>-2075.333333</v>
      </c>
      <c r="F37" s="166">
        <f t="shared" si="10"/>
        <v>-33433.33333</v>
      </c>
      <c r="G37" s="166">
        <f t="shared" si="10"/>
        <v>-41347.33333</v>
      </c>
      <c r="H37" s="166">
        <f t="shared" si="10"/>
        <v>-9791.533333</v>
      </c>
      <c r="I37" s="166">
        <f t="shared" si="10"/>
        <v>-39791.53333</v>
      </c>
      <c r="J37" s="166">
        <f t="shared" si="10"/>
        <v>-39791.53333</v>
      </c>
      <c r="K37" s="166">
        <f t="shared" si="10"/>
        <v>-48510.53333</v>
      </c>
      <c r="L37" s="166">
        <f t="shared" si="10"/>
        <v>-24157.06667</v>
      </c>
      <c r="M37" s="166">
        <f t="shared" si="10"/>
        <v>-54157.06667</v>
      </c>
      <c r="N37" s="166">
        <f t="shared" si="10"/>
        <v>-22959.02067</v>
      </c>
      <c r="O37" s="166">
        <f t="shared" si="10"/>
        <v>-63880.38733</v>
      </c>
      <c r="P37" s="166">
        <f t="shared" si="10"/>
        <v>-63880.38733</v>
      </c>
      <c r="Q37" s="166">
        <f t="shared" si="10"/>
        <v>-63880.38733</v>
      </c>
      <c r="R37" s="166">
        <f t="shared" si="10"/>
        <v>-124987.054</v>
      </c>
      <c r="S37" s="166">
        <f t="shared" si="10"/>
        <v>-6673.55</v>
      </c>
      <c r="T37" s="166">
        <f t="shared" si="10"/>
        <v>34380.25593</v>
      </c>
      <c r="U37" s="166">
        <f t="shared" si="10"/>
        <v>-7562.884667</v>
      </c>
      <c r="V37" s="166">
        <f t="shared" si="10"/>
        <v>-7592.130667</v>
      </c>
      <c r="W37" s="166">
        <f t="shared" si="10"/>
        <v>-76349.03067</v>
      </c>
      <c r="X37" s="166">
        <f t="shared" si="10"/>
        <v>108683.1713</v>
      </c>
      <c r="Y37" s="166">
        <f t="shared" si="10"/>
        <v>-27571.22267</v>
      </c>
      <c r="Z37" s="166">
        <f t="shared" si="10"/>
        <v>50931.16682</v>
      </c>
      <c r="AA37" s="166">
        <f t="shared" si="10"/>
        <v>57479.39668</v>
      </c>
      <c r="AB37" s="166">
        <f t="shared" si="10"/>
        <v>-4850.161347</v>
      </c>
      <c r="AC37" s="166">
        <f t="shared" si="10"/>
        <v>-35217.61319</v>
      </c>
      <c r="AD37" s="166">
        <f t="shared" si="10"/>
        <v>-150718.3984</v>
      </c>
      <c r="AE37" s="166">
        <f t="shared" si="10"/>
        <v>83968.99335</v>
      </c>
      <c r="AF37" s="166">
        <f t="shared" si="10"/>
        <v>89909.86154</v>
      </c>
      <c r="AG37" s="166">
        <f t="shared" si="10"/>
        <v>80999.02708</v>
      </c>
      <c r="AH37" s="166">
        <f t="shared" si="10"/>
        <v>229515.9623</v>
      </c>
      <c r="AI37" s="166">
        <f t="shared" si="10"/>
        <v>19052.14322</v>
      </c>
      <c r="AJ37" s="166">
        <f t="shared" si="10"/>
        <v>114934.7059</v>
      </c>
      <c r="AK37" s="166">
        <f t="shared" si="10"/>
        <v>98075.611</v>
      </c>
      <c r="AL37" s="166">
        <f t="shared" si="10"/>
        <v>107762.704</v>
      </c>
      <c r="AM37" s="166">
        <f t="shared" si="10"/>
        <v>256579.2675</v>
      </c>
      <c r="AN37" s="166">
        <f t="shared" si="10"/>
        <v>163896.4278</v>
      </c>
      <c r="AO37" s="166">
        <f t="shared" si="10"/>
        <v>218901.3735</v>
      </c>
      <c r="AP37" s="166">
        <f t="shared" si="10"/>
        <v>197086.3001</v>
      </c>
      <c r="AQ37" s="166">
        <f t="shared" si="10"/>
        <v>378277.6374</v>
      </c>
      <c r="AR37" s="166">
        <f t="shared" si="10"/>
        <v>331968.3629</v>
      </c>
      <c r="AS37" s="166">
        <f t="shared" si="10"/>
        <v>326339.6469</v>
      </c>
      <c r="AT37" s="166">
        <f t="shared" si="10"/>
        <v>391435.7827</v>
      </c>
      <c r="AU37" s="166">
        <f t="shared" si="10"/>
        <v>389077.6059</v>
      </c>
      <c r="AV37" s="166">
        <f t="shared" si="10"/>
        <v>409670.5268</v>
      </c>
      <c r="AW37" s="166">
        <f t="shared" si="10"/>
        <v>382413.6907</v>
      </c>
      <c r="AX37" s="166">
        <f t="shared" si="10"/>
        <v>509458.0611</v>
      </c>
      <c r="AY37" s="166">
        <f t="shared" si="10"/>
        <v>577532.2085</v>
      </c>
      <c r="AZ37" s="166">
        <f t="shared" si="10"/>
        <v>536398.9782</v>
      </c>
      <c r="BA37" s="166">
        <f t="shared" si="10"/>
        <v>559099.0453</v>
      </c>
    </row>
    <row r="38" ht="14.25" customHeight="1">
      <c r="A38" s="7" t="s">
        <v>720</v>
      </c>
      <c r="B38" s="158">
        <f t="shared" ref="B38:BA38" si="11">IFERROR(B37/B8,0)</f>
        <v>0</v>
      </c>
      <c r="C38" s="158">
        <f t="shared" si="11"/>
        <v>0</v>
      </c>
      <c r="D38" s="158">
        <f t="shared" si="11"/>
        <v>0</v>
      </c>
      <c r="E38" s="158">
        <f t="shared" si="11"/>
        <v>0</v>
      </c>
      <c r="F38" s="158">
        <f t="shared" si="11"/>
        <v>0</v>
      </c>
      <c r="G38" s="158">
        <f t="shared" si="11"/>
        <v>0</v>
      </c>
      <c r="H38" s="158">
        <f t="shared" si="11"/>
        <v>-0.2988868539</v>
      </c>
      <c r="I38" s="158">
        <f t="shared" si="11"/>
        <v>-14.41722222</v>
      </c>
      <c r="J38" s="158">
        <f t="shared" si="11"/>
        <v>-14.41722222</v>
      </c>
      <c r="K38" s="158">
        <f t="shared" si="11"/>
        <v>-17.57628019</v>
      </c>
      <c r="L38" s="158">
        <f t="shared" si="11"/>
        <v>-0.6800975976</v>
      </c>
      <c r="M38" s="158">
        <f t="shared" si="11"/>
        <v>-9.811062802</v>
      </c>
      <c r="N38" s="158">
        <f t="shared" si="11"/>
        <v>-0.5946207491</v>
      </c>
      <c r="O38" s="158">
        <f t="shared" si="11"/>
        <v>-7.418290985</v>
      </c>
      <c r="P38" s="158">
        <f t="shared" si="11"/>
        <v>-7.418290985</v>
      </c>
      <c r="Q38" s="158">
        <f t="shared" si="11"/>
        <v>-7.418290985</v>
      </c>
      <c r="R38" s="158">
        <f t="shared" si="11"/>
        <v>-14.5144758</v>
      </c>
      <c r="S38" s="158">
        <f t="shared" si="11"/>
        <v>-0.08154386608</v>
      </c>
      <c r="T38" s="158">
        <f t="shared" si="11"/>
        <v>0.2137947979</v>
      </c>
      <c r="U38" s="158">
        <f t="shared" si="11"/>
        <v>-0.07097941131</v>
      </c>
      <c r="V38" s="158">
        <f t="shared" si="11"/>
        <v>-0.06338438282</v>
      </c>
      <c r="W38" s="158">
        <f t="shared" si="11"/>
        <v>-1.277183881</v>
      </c>
      <c r="X38" s="158">
        <f t="shared" si="11"/>
        <v>0.3565159402</v>
      </c>
      <c r="Y38" s="158">
        <f t="shared" si="11"/>
        <v>-0.2143449746</v>
      </c>
      <c r="Z38" s="158">
        <f t="shared" si="11"/>
        <v>0.2036503409</v>
      </c>
      <c r="AA38" s="158">
        <f t="shared" si="11"/>
        <v>0.2166151477</v>
      </c>
      <c r="AB38" s="158">
        <f t="shared" si="11"/>
        <v>-0.02705264403</v>
      </c>
      <c r="AC38" s="158">
        <f t="shared" si="11"/>
        <v>-0.2368163044</v>
      </c>
      <c r="AD38" s="158">
        <f t="shared" si="11"/>
        <v>-1.017408296</v>
      </c>
      <c r="AE38" s="158">
        <f t="shared" si="11"/>
        <v>0.2547689031</v>
      </c>
      <c r="AF38" s="158">
        <f t="shared" si="11"/>
        <v>0.2614101826</v>
      </c>
      <c r="AG38" s="158">
        <f t="shared" si="11"/>
        <v>0.2376143892</v>
      </c>
      <c r="AH38" s="158">
        <f t="shared" si="11"/>
        <v>0.4018463625</v>
      </c>
      <c r="AI38" s="158">
        <f t="shared" si="11"/>
        <v>0.07054187867</v>
      </c>
      <c r="AJ38" s="158">
        <f t="shared" si="11"/>
        <v>0.2759352244</v>
      </c>
      <c r="AK38" s="158">
        <f t="shared" si="11"/>
        <v>0.2480660245</v>
      </c>
      <c r="AL38" s="158">
        <f t="shared" si="11"/>
        <v>0.2595569409</v>
      </c>
      <c r="AM38" s="158">
        <f t="shared" si="11"/>
        <v>0.3973609405</v>
      </c>
      <c r="AN38" s="158">
        <f t="shared" si="11"/>
        <v>0.3136083065</v>
      </c>
      <c r="AO38" s="158">
        <f t="shared" si="11"/>
        <v>0.3578681924</v>
      </c>
      <c r="AP38" s="158">
        <f t="shared" si="11"/>
        <v>0.2771932689</v>
      </c>
      <c r="AQ38" s="158">
        <f t="shared" si="11"/>
        <v>0.4250479237</v>
      </c>
      <c r="AR38" s="158">
        <f t="shared" si="11"/>
        <v>0.3962623883</v>
      </c>
      <c r="AS38" s="158">
        <f t="shared" si="11"/>
        <v>0.3873796768</v>
      </c>
      <c r="AT38" s="158">
        <f t="shared" si="11"/>
        <v>0.4107412153</v>
      </c>
      <c r="AU38" s="158">
        <f t="shared" si="11"/>
        <v>0.4032593324</v>
      </c>
      <c r="AV38" s="158">
        <f t="shared" si="11"/>
        <v>0.4053272648</v>
      </c>
      <c r="AW38" s="158">
        <f t="shared" si="11"/>
        <v>0.3891225246</v>
      </c>
      <c r="AX38" s="158">
        <f t="shared" si="11"/>
        <v>0.4293110814</v>
      </c>
      <c r="AY38" s="158">
        <f t="shared" si="11"/>
        <v>0.4430296673</v>
      </c>
      <c r="AZ38" s="158">
        <f t="shared" si="11"/>
        <v>0.4254364571</v>
      </c>
      <c r="BA38" s="158">
        <f t="shared" si="11"/>
        <v>0.4265946468</v>
      </c>
    </row>
    <row r="39" ht="14.25" customHeight="1">
      <c r="Q39" s="176">
        <f>SUM(F37:Q37)</f>
        <v>-505580.116</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6.43"/>
    <col customWidth="1" min="2" max="42" width="10.71"/>
    <col customWidth="1" min="43" max="43" width="12.86"/>
    <col customWidth="1" min="44" max="44" width="12.71"/>
    <col customWidth="1" min="45" max="45" width="14.0"/>
    <col customWidth="1" min="46" max="48" width="12.57"/>
    <col customWidth="1" min="49" max="49" width="12.86"/>
    <col customWidth="1" min="50" max="50" width="13.14"/>
    <col customWidth="1" min="51" max="51" width="12.14"/>
    <col customWidth="1" min="52" max="52" width="12.43"/>
    <col customWidth="1" min="53" max="53" width="12.86"/>
  </cols>
  <sheetData>
    <row r="1" ht="14.25" customHeight="1">
      <c r="A1" s="151" t="s">
        <v>721</v>
      </c>
      <c r="AP1" s="65" t="s">
        <v>562</v>
      </c>
      <c r="AQ1" s="65"/>
      <c r="AR1" s="65" t="s">
        <v>563</v>
      </c>
      <c r="AS1" s="65"/>
      <c r="AT1" s="65"/>
      <c r="AU1" s="65"/>
      <c r="AV1" s="65"/>
      <c r="AW1" s="65"/>
      <c r="AX1" s="65"/>
      <c r="AY1" s="65"/>
      <c r="AZ1" s="65"/>
      <c r="BA1" s="65"/>
    </row>
    <row r="2" ht="14.25" customHeight="1">
      <c r="A2" s="8" t="s">
        <v>692</v>
      </c>
      <c r="B2" s="171" t="s">
        <v>519</v>
      </c>
      <c r="C2" s="171" t="s">
        <v>519</v>
      </c>
      <c r="D2" s="171" t="s">
        <v>519</v>
      </c>
      <c r="E2" s="171" t="s">
        <v>519</v>
      </c>
      <c r="F2" s="172" t="s">
        <v>501</v>
      </c>
      <c r="G2" s="172" t="s">
        <v>501</v>
      </c>
      <c r="H2" s="172" t="s">
        <v>501</v>
      </c>
      <c r="I2" s="172" t="s">
        <v>501</v>
      </c>
      <c r="J2" s="172" t="s">
        <v>501</v>
      </c>
      <c r="K2" s="172" t="s">
        <v>501</v>
      </c>
      <c r="L2" s="172" t="s">
        <v>501</v>
      </c>
      <c r="M2" s="172" t="s">
        <v>501</v>
      </c>
      <c r="N2" s="172" t="s">
        <v>501</v>
      </c>
      <c r="O2" s="172" t="s">
        <v>501</v>
      </c>
      <c r="P2" s="172" t="s">
        <v>501</v>
      </c>
      <c r="Q2" s="172" t="s">
        <v>501</v>
      </c>
      <c r="R2" s="173" t="s">
        <v>502</v>
      </c>
      <c r="S2" s="173" t="s">
        <v>502</v>
      </c>
      <c r="T2" s="173" t="s">
        <v>502</v>
      </c>
      <c r="U2" s="173" t="s">
        <v>502</v>
      </c>
      <c r="V2" s="173" t="s">
        <v>502</v>
      </c>
      <c r="W2" s="173" t="s">
        <v>502</v>
      </c>
      <c r="X2" s="173" t="s">
        <v>502</v>
      </c>
      <c r="Y2" s="173" t="s">
        <v>502</v>
      </c>
      <c r="Z2" s="173" t="s">
        <v>502</v>
      </c>
      <c r="AA2" s="173" t="s">
        <v>502</v>
      </c>
      <c r="AB2" s="173" t="s">
        <v>502</v>
      </c>
      <c r="AC2" s="173" t="s">
        <v>502</v>
      </c>
      <c r="AD2" s="174" t="s">
        <v>503</v>
      </c>
      <c r="AE2" s="174" t="s">
        <v>503</v>
      </c>
      <c r="AF2" s="174" t="s">
        <v>503</v>
      </c>
      <c r="AG2" s="174" t="s">
        <v>503</v>
      </c>
      <c r="AH2" s="174" t="s">
        <v>503</v>
      </c>
      <c r="AI2" s="174" t="s">
        <v>503</v>
      </c>
      <c r="AJ2" s="174" t="s">
        <v>503</v>
      </c>
      <c r="AK2" s="174" t="s">
        <v>503</v>
      </c>
      <c r="AL2" s="174" t="s">
        <v>503</v>
      </c>
      <c r="AM2" s="174" t="s">
        <v>503</v>
      </c>
      <c r="AN2" s="174" t="s">
        <v>503</v>
      </c>
      <c r="AO2" s="174" t="s">
        <v>503</v>
      </c>
      <c r="AP2" s="175" t="s">
        <v>504</v>
      </c>
      <c r="AQ2" s="175" t="s">
        <v>504</v>
      </c>
      <c r="AR2" s="175" t="s">
        <v>504</v>
      </c>
      <c r="AS2" s="175" t="s">
        <v>504</v>
      </c>
      <c r="AT2" s="175" t="s">
        <v>504</v>
      </c>
      <c r="AU2" s="175" t="s">
        <v>504</v>
      </c>
      <c r="AV2" s="175" t="s">
        <v>504</v>
      </c>
      <c r="AW2" s="175" t="s">
        <v>504</v>
      </c>
      <c r="AX2" s="175" t="s">
        <v>504</v>
      </c>
      <c r="AY2" s="175" t="s">
        <v>504</v>
      </c>
      <c r="AZ2" s="175" t="s">
        <v>504</v>
      </c>
      <c r="BA2" s="175" t="s">
        <v>504</v>
      </c>
    </row>
    <row r="3" ht="14.25" customHeight="1">
      <c r="A3" s="6" t="s">
        <v>693</v>
      </c>
      <c r="B3" s="6" t="s">
        <v>564</v>
      </c>
      <c r="C3" s="6" t="s">
        <v>565</v>
      </c>
      <c r="D3" s="6" t="s">
        <v>566</v>
      </c>
      <c r="E3" s="6"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ht="14.25" customHeight="1">
      <c r="A4" s="135" t="s">
        <v>722</v>
      </c>
    </row>
    <row r="5" ht="14.25" customHeight="1">
      <c r="A5" s="7" t="s">
        <v>723</v>
      </c>
      <c r="B5" s="167">
        <f>'6_P&amp;L'!B37</f>
        <v>-2075.333333</v>
      </c>
      <c r="C5" s="167">
        <f>'6_P&amp;L'!C37</f>
        <v>-2075.333333</v>
      </c>
      <c r="D5" s="167">
        <f>'6_P&amp;L'!D37</f>
        <v>-2075.333333</v>
      </c>
      <c r="E5" s="167">
        <f>'6_P&amp;L'!E37</f>
        <v>-2075.333333</v>
      </c>
      <c r="F5" s="167">
        <f>'6_P&amp;L'!F37</f>
        <v>-33433.33333</v>
      </c>
      <c r="G5" s="167">
        <f>'6_P&amp;L'!G37</f>
        <v>-41347.33333</v>
      </c>
      <c r="H5" s="167">
        <f>'6_P&amp;L'!H37</f>
        <v>-9791.533333</v>
      </c>
      <c r="I5" s="167">
        <f>'6_P&amp;L'!I37</f>
        <v>-39791.53333</v>
      </c>
      <c r="J5" s="167">
        <f>'6_P&amp;L'!J37</f>
        <v>-39791.53333</v>
      </c>
      <c r="K5" s="167">
        <f>'6_P&amp;L'!K37</f>
        <v>-48510.53333</v>
      </c>
      <c r="L5" s="167">
        <f>'6_P&amp;L'!L37</f>
        <v>-24157.06667</v>
      </c>
      <c r="M5" s="167">
        <f>'6_P&amp;L'!M37</f>
        <v>-54157.06667</v>
      </c>
      <c r="N5" s="167">
        <f>'6_P&amp;L'!N37</f>
        <v>-22959.02067</v>
      </c>
      <c r="O5" s="167">
        <f>'6_P&amp;L'!O37</f>
        <v>-63880.38733</v>
      </c>
      <c r="P5" s="167">
        <f>'6_P&amp;L'!P37</f>
        <v>-63880.38733</v>
      </c>
      <c r="Q5" s="167">
        <f>'6_P&amp;L'!Q37</f>
        <v>-63880.38733</v>
      </c>
      <c r="R5" s="167">
        <f>'6_P&amp;L'!R37</f>
        <v>-124987.054</v>
      </c>
      <c r="S5" s="167">
        <f>'6_P&amp;L'!S37</f>
        <v>-6673.55</v>
      </c>
      <c r="T5" s="167">
        <f>'6_P&amp;L'!T37</f>
        <v>34380.25593</v>
      </c>
      <c r="U5" s="167">
        <f>'6_P&amp;L'!U37</f>
        <v>-7562.884667</v>
      </c>
      <c r="V5" s="167">
        <f>'6_P&amp;L'!V37</f>
        <v>-7592.130667</v>
      </c>
      <c r="W5" s="167">
        <f>'6_P&amp;L'!W37</f>
        <v>-76349.03067</v>
      </c>
      <c r="X5" s="167">
        <f>'6_P&amp;L'!X37</f>
        <v>108683.1713</v>
      </c>
      <c r="Y5" s="167">
        <f>'6_P&amp;L'!Y37</f>
        <v>-27571.22267</v>
      </c>
      <c r="Z5" s="167">
        <f>'6_P&amp;L'!Z37</f>
        <v>50931.16682</v>
      </c>
      <c r="AA5" s="167">
        <f>'6_P&amp;L'!AA37</f>
        <v>57479.39668</v>
      </c>
      <c r="AB5" s="167">
        <f>'6_P&amp;L'!AB37</f>
        <v>-4850.161347</v>
      </c>
      <c r="AC5" s="167">
        <f>'6_P&amp;L'!AC37</f>
        <v>-35217.61319</v>
      </c>
      <c r="AD5" s="167">
        <f>'6_P&amp;L'!AD37</f>
        <v>-150718.3984</v>
      </c>
      <c r="AE5" s="167">
        <f>'6_P&amp;L'!AE37</f>
        <v>83968.99335</v>
      </c>
      <c r="AF5" s="167">
        <f>'6_P&amp;L'!AF37</f>
        <v>89909.86154</v>
      </c>
      <c r="AG5" s="167">
        <f>'6_P&amp;L'!AG37</f>
        <v>80999.02708</v>
      </c>
      <c r="AH5" s="167">
        <f>'6_P&amp;L'!AH37</f>
        <v>229515.9623</v>
      </c>
      <c r="AI5" s="167">
        <f>'6_P&amp;L'!AI37</f>
        <v>19052.14322</v>
      </c>
      <c r="AJ5" s="167">
        <f>'6_P&amp;L'!AJ37</f>
        <v>114934.7059</v>
      </c>
      <c r="AK5" s="167">
        <f>'6_P&amp;L'!AK37</f>
        <v>98075.611</v>
      </c>
      <c r="AL5" s="167">
        <f>'6_P&amp;L'!AL37</f>
        <v>107762.704</v>
      </c>
      <c r="AM5" s="167">
        <f>'6_P&amp;L'!AM37</f>
        <v>256579.2675</v>
      </c>
      <c r="AN5" s="167">
        <f>'6_P&amp;L'!AN37</f>
        <v>163896.4278</v>
      </c>
      <c r="AO5" s="167">
        <f>'6_P&amp;L'!AO37</f>
        <v>218901.3735</v>
      </c>
      <c r="AP5" s="167">
        <f>'6_P&amp;L'!AP37</f>
        <v>197086.3001</v>
      </c>
      <c r="AQ5" s="167">
        <f>'6_P&amp;L'!AQ37</f>
        <v>378277.6374</v>
      </c>
      <c r="AR5" s="167">
        <f>'6_P&amp;L'!AR37</f>
        <v>331968.3629</v>
      </c>
      <c r="AS5" s="167">
        <f>'6_P&amp;L'!AS37</f>
        <v>326339.6469</v>
      </c>
      <c r="AT5" s="167">
        <f>'6_P&amp;L'!AT37</f>
        <v>391435.7827</v>
      </c>
      <c r="AU5" s="167">
        <f>'6_P&amp;L'!AU37</f>
        <v>389077.6059</v>
      </c>
      <c r="AV5" s="167">
        <f>'6_P&amp;L'!AV37</f>
        <v>409670.5268</v>
      </c>
      <c r="AW5" s="167">
        <f>'6_P&amp;L'!AW37</f>
        <v>382413.6907</v>
      </c>
      <c r="AX5" s="167">
        <f>'6_P&amp;L'!AX37</f>
        <v>509458.0611</v>
      </c>
      <c r="AY5" s="167">
        <f>'6_P&amp;L'!AY37</f>
        <v>577532.2085</v>
      </c>
      <c r="AZ5" s="167">
        <f>'6_P&amp;L'!AZ37</f>
        <v>536398.9782</v>
      </c>
      <c r="BA5" s="167">
        <f>'6_P&amp;L'!BA37</f>
        <v>559099.0453</v>
      </c>
    </row>
    <row r="6" ht="14.25" customHeight="1">
      <c r="A6" s="7" t="s">
        <v>724</v>
      </c>
      <c r="B6" s="167">
        <f t="shared" ref="B6:BA6" si="1">0</f>
        <v>0</v>
      </c>
      <c r="C6" s="167">
        <f t="shared" si="1"/>
        <v>0</v>
      </c>
      <c r="D6" s="167">
        <f t="shared" si="1"/>
        <v>0</v>
      </c>
      <c r="E6" s="167">
        <f t="shared" si="1"/>
        <v>0</v>
      </c>
      <c r="F6" s="167">
        <f t="shared" si="1"/>
        <v>0</v>
      </c>
      <c r="G6" s="167">
        <f t="shared" si="1"/>
        <v>0</v>
      </c>
      <c r="H6" s="167">
        <f t="shared" si="1"/>
        <v>0</v>
      </c>
      <c r="I6" s="167">
        <f t="shared" si="1"/>
        <v>0</v>
      </c>
      <c r="J6" s="167">
        <f t="shared" si="1"/>
        <v>0</v>
      </c>
      <c r="K6" s="167">
        <f t="shared" si="1"/>
        <v>0</v>
      </c>
      <c r="L6" s="167">
        <f t="shared" si="1"/>
        <v>0</v>
      </c>
      <c r="M6" s="167">
        <f t="shared" si="1"/>
        <v>0</v>
      </c>
      <c r="N6" s="167">
        <f t="shared" si="1"/>
        <v>0</v>
      </c>
      <c r="O6" s="167">
        <f t="shared" si="1"/>
        <v>0</v>
      </c>
      <c r="P6" s="167">
        <f t="shared" si="1"/>
        <v>0</v>
      </c>
      <c r="Q6" s="167">
        <f t="shared" si="1"/>
        <v>0</v>
      </c>
      <c r="R6" s="167">
        <f t="shared" si="1"/>
        <v>0</v>
      </c>
      <c r="S6" s="167">
        <f t="shared" si="1"/>
        <v>0</v>
      </c>
      <c r="T6" s="167">
        <f t="shared" si="1"/>
        <v>0</v>
      </c>
      <c r="U6" s="167">
        <f t="shared" si="1"/>
        <v>0</v>
      </c>
      <c r="V6" s="167">
        <f t="shared" si="1"/>
        <v>0</v>
      </c>
      <c r="W6" s="167">
        <f t="shared" si="1"/>
        <v>0</v>
      </c>
      <c r="X6" s="167">
        <f t="shared" si="1"/>
        <v>0</v>
      </c>
      <c r="Y6" s="167">
        <f t="shared" si="1"/>
        <v>0</v>
      </c>
      <c r="Z6" s="167">
        <f t="shared" si="1"/>
        <v>0</v>
      </c>
      <c r="AA6" s="167">
        <f t="shared" si="1"/>
        <v>0</v>
      </c>
      <c r="AB6" s="167">
        <f t="shared" si="1"/>
        <v>0</v>
      </c>
      <c r="AC6" s="167">
        <f t="shared" si="1"/>
        <v>0</v>
      </c>
      <c r="AD6" s="167">
        <f t="shared" si="1"/>
        <v>0</v>
      </c>
      <c r="AE6" s="167">
        <f t="shared" si="1"/>
        <v>0</v>
      </c>
      <c r="AF6" s="167">
        <f t="shared" si="1"/>
        <v>0</v>
      </c>
      <c r="AG6" s="167">
        <f t="shared" si="1"/>
        <v>0</v>
      </c>
      <c r="AH6" s="167">
        <f t="shared" si="1"/>
        <v>0</v>
      </c>
      <c r="AI6" s="167">
        <f t="shared" si="1"/>
        <v>0</v>
      </c>
      <c r="AJ6" s="167">
        <f t="shared" si="1"/>
        <v>0</v>
      </c>
      <c r="AK6" s="167">
        <f t="shared" si="1"/>
        <v>0</v>
      </c>
      <c r="AL6" s="167">
        <f t="shared" si="1"/>
        <v>0</v>
      </c>
      <c r="AM6" s="167">
        <f t="shared" si="1"/>
        <v>0</v>
      </c>
      <c r="AN6" s="167">
        <f t="shared" si="1"/>
        <v>0</v>
      </c>
      <c r="AO6" s="167">
        <f t="shared" si="1"/>
        <v>0</v>
      </c>
      <c r="AP6" s="167">
        <f t="shared" si="1"/>
        <v>0</v>
      </c>
      <c r="AQ6" s="167">
        <f t="shared" si="1"/>
        <v>0</v>
      </c>
      <c r="AR6" s="167">
        <f t="shared" si="1"/>
        <v>0</v>
      </c>
      <c r="AS6" s="167">
        <f t="shared" si="1"/>
        <v>0</v>
      </c>
      <c r="AT6" s="167">
        <f t="shared" si="1"/>
        <v>0</v>
      </c>
      <c r="AU6" s="167">
        <f t="shared" si="1"/>
        <v>0</v>
      </c>
      <c r="AV6" s="167">
        <f t="shared" si="1"/>
        <v>0</v>
      </c>
      <c r="AW6" s="167">
        <f t="shared" si="1"/>
        <v>0</v>
      </c>
      <c r="AX6" s="167">
        <f t="shared" si="1"/>
        <v>0</v>
      </c>
      <c r="AY6" s="167">
        <f t="shared" si="1"/>
        <v>0</v>
      </c>
      <c r="AZ6" s="167">
        <f t="shared" si="1"/>
        <v>0</v>
      </c>
      <c r="BA6" s="167">
        <f t="shared" si="1"/>
        <v>0</v>
      </c>
    </row>
    <row r="7" ht="14.25" customHeight="1">
      <c r="A7" s="8" t="s">
        <v>725</v>
      </c>
      <c r="B7" s="166">
        <f t="shared" ref="B7:BA7" si="2">B5+B6</f>
        <v>-2075.333333</v>
      </c>
      <c r="C7" s="166">
        <f t="shared" si="2"/>
        <v>-2075.333333</v>
      </c>
      <c r="D7" s="166">
        <f t="shared" si="2"/>
        <v>-2075.333333</v>
      </c>
      <c r="E7" s="166">
        <f t="shared" si="2"/>
        <v>-2075.333333</v>
      </c>
      <c r="F7" s="166">
        <f t="shared" si="2"/>
        <v>-33433.33333</v>
      </c>
      <c r="G7" s="166">
        <f t="shared" si="2"/>
        <v>-41347.33333</v>
      </c>
      <c r="H7" s="166">
        <f t="shared" si="2"/>
        <v>-9791.533333</v>
      </c>
      <c r="I7" s="166">
        <f t="shared" si="2"/>
        <v>-39791.53333</v>
      </c>
      <c r="J7" s="166">
        <f t="shared" si="2"/>
        <v>-39791.53333</v>
      </c>
      <c r="K7" s="166">
        <f t="shared" si="2"/>
        <v>-48510.53333</v>
      </c>
      <c r="L7" s="166">
        <f t="shared" si="2"/>
        <v>-24157.06667</v>
      </c>
      <c r="M7" s="166">
        <f t="shared" si="2"/>
        <v>-54157.06667</v>
      </c>
      <c r="N7" s="166">
        <f t="shared" si="2"/>
        <v>-22959.02067</v>
      </c>
      <c r="O7" s="166">
        <f t="shared" si="2"/>
        <v>-63880.38733</v>
      </c>
      <c r="P7" s="166">
        <f t="shared" si="2"/>
        <v>-63880.38733</v>
      </c>
      <c r="Q7" s="166">
        <f t="shared" si="2"/>
        <v>-63880.38733</v>
      </c>
      <c r="R7" s="166">
        <f t="shared" si="2"/>
        <v>-124987.054</v>
      </c>
      <c r="S7" s="166">
        <f t="shared" si="2"/>
        <v>-6673.55</v>
      </c>
      <c r="T7" s="166">
        <f t="shared" si="2"/>
        <v>34380.25593</v>
      </c>
      <c r="U7" s="166">
        <f t="shared" si="2"/>
        <v>-7562.884667</v>
      </c>
      <c r="V7" s="166">
        <f t="shared" si="2"/>
        <v>-7592.130667</v>
      </c>
      <c r="W7" s="166">
        <f t="shared" si="2"/>
        <v>-76349.03067</v>
      </c>
      <c r="X7" s="166">
        <f t="shared" si="2"/>
        <v>108683.1713</v>
      </c>
      <c r="Y7" s="166">
        <f t="shared" si="2"/>
        <v>-27571.22267</v>
      </c>
      <c r="Z7" s="166">
        <f t="shared" si="2"/>
        <v>50931.16682</v>
      </c>
      <c r="AA7" s="166">
        <f t="shared" si="2"/>
        <v>57479.39668</v>
      </c>
      <c r="AB7" s="166">
        <f t="shared" si="2"/>
        <v>-4850.161347</v>
      </c>
      <c r="AC7" s="166">
        <f t="shared" si="2"/>
        <v>-35217.61319</v>
      </c>
      <c r="AD7" s="166">
        <f t="shared" si="2"/>
        <v>-150718.3984</v>
      </c>
      <c r="AE7" s="166">
        <f t="shared" si="2"/>
        <v>83968.99335</v>
      </c>
      <c r="AF7" s="166">
        <f t="shared" si="2"/>
        <v>89909.86154</v>
      </c>
      <c r="AG7" s="166">
        <f t="shared" si="2"/>
        <v>80999.02708</v>
      </c>
      <c r="AH7" s="166">
        <f t="shared" si="2"/>
        <v>229515.9623</v>
      </c>
      <c r="AI7" s="166">
        <f t="shared" si="2"/>
        <v>19052.14322</v>
      </c>
      <c r="AJ7" s="166">
        <f t="shared" si="2"/>
        <v>114934.7059</v>
      </c>
      <c r="AK7" s="166">
        <f t="shared" si="2"/>
        <v>98075.611</v>
      </c>
      <c r="AL7" s="166">
        <f t="shared" si="2"/>
        <v>107762.704</v>
      </c>
      <c r="AM7" s="166">
        <f t="shared" si="2"/>
        <v>256579.2675</v>
      </c>
      <c r="AN7" s="166">
        <f t="shared" si="2"/>
        <v>163896.4278</v>
      </c>
      <c r="AO7" s="166">
        <f t="shared" si="2"/>
        <v>218901.3735</v>
      </c>
      <c r="AP7" s="166">
        <f t="shared" si="2"/>
        <v>197086.3001</v>
      </c>
      <c r="AQ7" s="166">
        <f t="shared" si="2"/>
        <v>378277.6374</v>
      </c>
      <c r="AR7" s="166">
        <f t="shared" si="2"/>
        <v>331968.3629</v>
      </c>
      <c r="AS7" s="166">
        <f t="shared" si="2"/>
        <v>326339.6469</v>
      </c>
      <c r="AT7" s="166">
        <f t="shared" si="2"/>
        <v>391435.7827</v>
      </c>
      <c r="AU7" s="166">
        <f t="shared" si="2"/>
        <v>389077.6059</v>
      </c>
      <c r="AV7" s="166">
        <f t="shared" si="2"/>
        <v>409670.5268</v>
      </c>
      <c r="AW7" s="166">
        <f t="shared" si="2"/>
        <v>382413.6907</v>
      </c>
      <c r="AX7" s="166">
        <f t="shared" si="2"/>
        <v>509458.0611</v>
      </c>
      <c r="AY7" s="166">
        <f t="shared" si="2"/>
        <v>577532.2085</v>
      </c>
      <c r="AZ7" s="166">
        <f t="shared" si="2"/>
        <v>536398.9782</v>
      </c>
      <c r="BA7" s="166">
        <f t="shared" si="2"/>
        <v>559099.0453</v>
      </c>
    </row>
    <row r="8" ht="14.25" customHeight="1">
      <c r="B8" s="167"/>
      <c r="C8" s="167"/>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row>
    <row r="9" ht="14.25" customHeight="1">
      <c r="A9" s="7" t="s">
        <v>726</v>
      </c>
      <c r="B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C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D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E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320000</v>
      </c>
      <c r="F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G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H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I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J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K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L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M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N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O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P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Q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R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2000000</v>
      </c>
      <c r="S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T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U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V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W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X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Y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Z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A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B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C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D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10000000</v>
      </c>
      <c r="AE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F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G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H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I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J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K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L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M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N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O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P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Q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R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S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T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U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V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W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X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Y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Z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BA9" s="167">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row>
    <row r="10" ht="14.25" customHeight="1">
      <c r="A10" s="8" t="s">
        <v>727</v>
      </c>
      <c r="B10" s="166">
        <f t="shared" ref="B10:BA10" si="3">B9</f>
        <v>0</v>
      </c>
      <c r="C10" s="166">
        <f t="shared" si="3"/>
        <v>0</v>
      </c>
      <c r="D10" s="166">
        <f t="shared" si="3"/>
        <v>0</v>
      </c>
      <c r="E10" s="166">
        <f t="shared" si="3"/>
        <v>320000</v>
      </c>
      <c r="F10" s="166">
        <f t="shared" si="3"/>
        <v>200000</v>
      </c>
      <c r="G10" s="166">
        <f t="shared" si="3"/>
        <v>0</v>
      </c>
      <c r="H10" s="166">
        <f t="shared" si="3"/>
        <v>0</v>
      </c>
      <c r="I10" s="166">
        <f t="shared" si="3"/>
        <v>200000</v>
      </c>
      <c r="J10" s="166">
        <f t="shared" si="3"/>
        <v>0</v>
      </c>
      <c r="K10" s="166">
        <f t="shared" si="3"/>
        <v>0</v>
      </c>
      <c r="L10" s="166">
        <f t="shared" si="3"/>
        <v>0</v>
      </c>
      <c r="M10" s="166">
        <f t="shared" si="3"/>
        <v>0</v>
      </c>
      <c r="N10" s="166">
        <f t="shared" si="3"/>
        <v>0</v>
      </c>
      <c r="O10" s="166">
        <f t="shared" si="3"/>
        <v>0</v>
      </c>
      <c r="P10" s="166">
        <f t="shared" si="3"/>
        <v>0</v>
      </c>
      <c r="Q10" s="166">
        <f t="shared" si="3"/>
        <v>0</v>
      </c>
      <c r="R10" s="166">
        <f t="shared" si="3"/>
        <v>2000000</v>
      </c>
      <c r="S10" s="166">
        <f t="shared" si="3"/>
        <v>0</v>
      </c>
      <c r="T10" s="166">
        <f t="shared" si="3"/>
        <v>0</v>
      </c>
      <c r="U10" s="166">
        <f t="shared" si="3"/>
        <v>0</v>
      </c>
      <c r="V10" s="166">
        <f t="shared" si="3"/>
        <v>0</v>
      </c>
      <c r="W10" s="166">
        <f t="shared" si="3"/>
        <v>0</v>
      </c>
      <c r="X10" s="166">
        <f t="shared" si="3"/>
        <v>0</v>
      </c>
      <c r="Y10" s="166">
        <f t="shared" si="3"/>
        <v>0</v>
      </c>
      <c r="Z10" s="166">
        <f t="shared" si="3"/>
        <v>0</v>
      </c>
      <c r="AA10" s="166">
        <f t="shared" si="3"/>
        <v>0</v>
      </c>
      <c r="AB10" s="166">
        <f t="shared" si="3"/>
        <v>0</v>
      </c>
      <c r="AC10" s="166">
        <f t="shared" si="3"/>
        <v>0</v>
      </c>
      <c r="AD10" s="166">
        <f t="shared" si="3"/>
        <v>10000000</v>
      </c>
      <c r="AE10" s="166">
        <f t="shared" si="3"/>
        <v>0</v>
      </c>
      <c r="AF10" s="166">
        <f t="shared" si="3"/>
        <v>0</v>
      </c>
      <c r="AG10" s="166">
        <f t="shared" si="3"/>
        <v>0</v>
      </c>
      <c r="AH10" s="166">
        <f t="shared" si="3"/>
        <v>0</v>
      </c>
      <c r="AI10" s="166">
        <f t="shared" si="3"/>
        <v>0</v>
      </c>
      <c r="AJ10" s="166">
        <f t="shared" si="3"/>
        <v>0</v>
      </c>
      <c r="AK10" s="166">
        <f t="shared" si="3"/>
        <v>0</v>
      </c>
      <c r="AL10" s="166">
        <f t="shared" si="3"/>
        <v>0</v>
      </c>
      <c r="AM10" s="166">
        <f t="shared" si="3"/>
        <v>0</v>
      </c>
      <c r="AN10" s="166">
        <f t="shared" si="3"/>
        <v>0</v>
      </c>
      <c r="AO10" s="166">
        <f t="shared" si="3"/>
        <v>0</v>
      </c>
      <c r="AP10" s="166">
        <f t="shared" si="3"/>
        <v>0</v>
      </c>
      <c r="AQ10" s="166">
        <f t="shared" si="3"/>
        <v>0</v>
      </c>
      <c r="AR10" s="166">
        <f t="shared" si="3"/>
        <v>0</v>
      </c>
      <c r="AS10" s="166">
        <f t="shared" si="3"/>
        <v>0</v>
      </c>
      <c r="AT10" s="166">
        <f t="shared" si="3"/>
        <v>0</v>
      </c>
      <c r="AU10" s="166">
        <f t="shared" si="3"/>
        <v>0</v>
      </c>
      <c r="AV10" s="166">
        <f t="shared" si="3"/>
        <v>0</v>
      </c>
      <c r="AW10" s="166">
        <f t="shared" si="3"/>
        <v>0</v>
      </c>
      <c r="AX10" s="166">
        <f t="shared" si="3"/>
        <v>0</v>
      </c>
      <c r="AY10" s="166">
        <f t="shared" si="3"/>
        <v>0</v>
      </c>
      <c r="AZ10" s="166">
        <f t="shared" si="3"/>
        <v>0</v>
      </c>
      <c r="BA10" s="166">
        <f t="shared" si="3"/>
        <v>0</v>
      </c>
    </row>
    <row r="11" ht="14.25" customHeight="1">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row>
    <row r="12" ht="14.25" customHeight="1">
      <c r="A12" s="8" t="s">
        <v>728</v>
      </c>
      <c r="B12" s="166">
        <f t="shared" ref="B12:BA12" si="4">B7+B10</f>
        <v>-2075.333333</v>
      </c>
      <c r="C12" s="166">
        <f t="shared" si="4"/>
        <v>-2075.333333</v>
      </c>
      <c r="D12" s="166">
        <f t="shared" si="4"/>
        <v>-2075.333333</v>
      </c>
      <c r="E12" s="166">
        <f t="shared" si="4"/>
        <v>317924.6667</v>
      </c>
      <c r="F12" s="166">
        <f t="shared" si="4"/>
        <v>166566.6667</v>
      </c>
      <c r="G12" s="166">
        <f t="shared" si="4"/>
        <v>-41347.33333</v>
      </c>
      <c r="H12" s="166">
        <f t="shared" si="4"/>
        <v>-9791.533333</v>
      </c>
      <c r="I12" s="166">
        <f t="shared" si="4"/>
        <v>160208.4667</v>
      </c>
      <c r="J12" s="166">
        <f t="shared" si="4"/>
        <v>-39791.53333</v>
      </c>
      <c r="K12" s="166">
        <f t="shared" si="4"/>
        <v>-48510.53333</v>
      </c>
      <c r="L12" s="166">
        <f t="shared" si="4"/>
        <v>-24157.06667</v>
      </c>
      <c r="M12" s="166">
        <f t="shared" si="4"/>
        <v>-54157.06667</v>
      </c>
      <c r="N12" s="166">
        <f t="shared" si="4"/>
        <v>-22959.02067</v>
      </c>
      <c r="O12" s="166">
        <f t="shared" si="4"/>
        <v>-63880.38733</v>
      </c>
      <c r="P12" s="166">
        <f t="shared" si="4"/>
        <v>-63880.38733</v>
      </c>
      <c r="Q12" s="166">
        <f t="shared" si="4"/>
        <v>-63880.38733</v>
      </c>
      <c r="R12" s="166">
        <f t="shared" si="4"/>
        <v>1875012.946</v>
      </c>
      <c r="S12" s="166">
        <f t="shared" si="4"/>
        <v>-6673.55</v>
      </c>
      <c r="T12" s="166">
        <f t="shared" si="4"/>
        <v>34380.25593</v>
      </c>
      <c r="U12" s="166">
        <f t="shared" si="4"/>
        <v>-7562.884667</v>
      </c>
      <c r="V12" s="166">
        <f t="shared" si="4"/>
        <v>-7592.130667</v>
      </c>
      <c r="W12" s="166">
        <f t="shared" si="4"/>
        <v>-76349.03067</v>
      </c>
      <c r="X12" s="166">
        <f t="shared" si="4"/>
        <v>108683.1713</v>
      </c>
      <c r="Y12" s="166">
        <f t="shared" si="4"/>
        <v>-27571.22267</v>
      </c>
      <c r="Z12" s="166">
        <f t="shared" si="4"/>
        <v>50931.16682</v>
      </c>
      <c r="AA12" s="166">
        <f t="shared" si="4"/>
        <v>57479.39668</v>
      </c>
      <c r="AB12" s="166">
        <f t="shared" si="4"/>
        <v>-4850.161347</v>
      </c>
      <c r="AC12" s="166">
        <f t="shared" si="4"/>
        <v>-35217.61319</v>
      </c>
      <c r="AD12" s="166">
        <f t="shared" si="4"/>
        <v>9849281.602</v>
      </c>
      <c r="AE12" s="166">
        <f t="shared" si="4"/>
        <v>83968.99335</v>
      </c>
      <c r="AF12" s="166">
        <f t="shared" si="4"/>
        <v>89909.86154</v>
      </c>
      <c r="AG12" s="166">
        <f t="shared" si="4"/>
        <v>80999.02708</v>
      </c>
      <c r="AH12" s="166">
        <f t="shared" si="4"/>
        <v>229515.9623</v>
      </c>
      <c r="AI12" s="166">
        <f t="shared" si="4"/>
        <v>19052.14322</v>
      </c>
      <c r="AJ12" s="166">
        <f t="shared" si="4"/>
        <v>114934.7059</v>
      </c>
      <c r="AK12" s="166">
        <f t="shared" si="4"/>
        <v>98075.611</v>
      </c>
      <c r="AL12" s="166">
        <f t="shared" si="4"/>
        <v>107762.704</v>
      </c>
      <c r="AM12" s="166">
        <f t="shared" si="4"/>
        <v>256579.2675</v>
      </c>
      <c r="AN12" s="166">
        <f t="shared" si="4"/>
        <v>163896.4278</v>
      </c>
      <c r="AO12" s="166">
        <f t="shared" si="4"/>
        <v>218901.3735</v>
      </c>
      <c r="AP12" s="166">
        <f t="shared" si="4"/>
        <v>197086.3001</v>
      </c>
      <c r="AQ12" s="166">
        <f t="shared" si="4"/>
        <v>378277.6374</v>
      </c>
      <c r="AR12" s="166">
        <f t="shared" si="4"/>
        <v>331968.3629</v>
      </c>
      <c r="AS12" s="166">
        <f t="shared" si="4"/>
        <v>326339.6469</v>
      </c>
      <c r="AT12" s="166">
        <f t="shared" si="4"/>
        <v>391435.7827</v>
      </c>
      <c r="AU12" s="166">
        <f t="shared" si="4"/>
        <v>389077.6059</v>
      </c>
      <c r="AV12" s="166">
        <f t="shared" si="4"/>
        <v>409670.5268</v>
      </c>
      <c r="AW12" s="166">
        <f t="shared" si="4"/>
        <v>382413.6907</v>
      </c>
      <c r="AX12" s="166">
        <f t="shared" si="4"/>
        <v>509458.0611</v>
      </c>
      <c r="AY12" s="166">
        <f t="shared" si="4"/>
        <v>577532.2085</v>
      </c>
      <c r="AZ12" s="166">
        <f t="shared" si="4"/>
        <v>536398.9782</v>
      </c>
      <c r="BA12" s="166">
        <f t="shared" si="4"/>
        <v>559099.0453</v>
      </c>
    </row>
    <row r="13" ht="14.25" customHeight="1">
      <c r="B13" s="167"/>
      <c r="C13" s="167"/>
      <c r="D13" s="167"/>
      <c r="E13" s="167"/>
      <c r="F13" s="167"/>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row>
    <row r="14" ht="14.25" customHeight="1">
      <c r="A14" s="7" t="s">
        <v>729</v>
      </c>
      <c r="B14" s="167">
        <v>0.0</v>
      </c>
      <c r="C14" s="167">
        <f t="shared" ref="C14:BA14" si="5">B15</f>
        <v>-2075.333333</v>
      </c>
      <c r="D14" s="167">
        <f t="shared" si="5"/>
        <v>-4150.666667</v>
      </c>
      <c r="E14" s="167">
        <f t="shared" si="5"/>
        <v>-6226</v>
      </c>
      <c r="F14" s="167">
        <f t="shared" si="5"/>
        <v>311698.6667</v>
      </c>
      <c r="G14" s="167">
        <f t="shared" si="5"/>
        <v>478265.3333</v>
      </c>
      <c r="H14" s="167">
        <f t="shared" si="5"/>
        <v>436918</v>
      </c>
      <c r="I14" s="167">
        <f t="shared" si="5"/>
        <v>427126.4667</v>
      </c>
      <c r="J14" s="167">
        <f t="shared" si="5"/>
        <v>587334.9333</v>
      </c>
      <c r="K14" s="167">
        <f t="shared" si="5"/>
        <v>547543.4</v>
      </c>
      <c r="L14" s="167">
        <f t="shared" si="5"/>
        <v>499032.8667</v>
      </c>
      <c r="M14" s="167">
        <f t="shared" si="5"/>
        <v>474875.8</v>
      </c>
      <c r="N14" s="167">
        <f t="shared" si="5"/>
        <v>420718.7333</v>
      </c>
      <c r="O14" s="167">
        <f t="shared" si="5"/>
        <v>397759.7127</v>
      </c>
      <c r="P14" s="167">
        <f t="shared" si="5"/>
        <v>333879.3253</v>
      </c>
      <c r="Q14" s="167">
        <f t="shared" si="5"/>
        <v>269998.938</v>
      </c>
      <c r="R14" s="167">
        <f t="shared" si="5"/>
        <v>206118.5507</v>
      </c>
      <c r="S14" s="167">
        <f t="shared" si="5"/>
        <v>2081131.497</v>
      </c>
      <c r="T14" s="167">
        <f t="shared" si="5"/>
        <v>2074457.947</v>
      </c>
      <c r="U14" s="167">
        <f t="shared" si="5"/>
        <v>2108838.203</v>
      </c>
      <c r="V14" s="167">
        <f t="shared" si="5"/>
        <v>2101275.318</v>
      </c>
      <c r="W14" s="167">
        <f t="shared" si="5"/>
        <v>2093683.187</v>
      </c>
      <c r="X14" s="167">
        <f t="shared" si="5"/>
        <v>2017334.157</v>
      </c>
      <c r="Y14" s="167">
        <f t="shared" si="5"/>
        <v>2126017.328</v>
      </c>
      <c r="Z14" s="167">
        <f t="shared" si="5"/>
        <v>2098446.105</v>
      </c>
      <c r="AA14" s="167">
        <f t="shared" si="5"/>
        <v>2149377.272</v>
      </c>
      <c r="AB14" s="167">
        <f t="shared" si="5"/>
        <v>2206856.669</v>
      </c>
      <c r="AC14" s="167">
        <f t="shared" si="5"/>
        <v>2202006.507</v>
      </c>
      <c r="AD14" s="167">
        <f t="shared" si="5"/>
        <v>2166788.894</v>
      </c>
      <c r="AE14" s="167">
        <f t="shared" si="5"/>
        <v>12016070.5</v>
      </c>
      <c r="AF14" s="167">
        <f t="shared" si="5"/>
        <v>12100039.49</v>
      </c>
      <c r="AG14" s="167">
        <f t="shared" si="5"/>
        <v>12189949.35</v>
      </c>
      <c r="AH14" s="167">
        <f t="shared" si="5"/>
        <v>12270948.38</v>
      </c>
      <c r="AI14" s="167">
        <f t="shared" si="5"/>
        <v>12500464.34</v>
      </c>
      <c r="AJ14" s="167">
        <f t="shared" si="5"/>
        <v>12519516.48</v>
      </c>
      <c r="AK14" s="167">
        <f t="shared" si="5"/>
        <v>12634451.19</v>
      </c>
      <c r="AL14" s="167">
        <f t="shared" si="5"/>
        <v>12732526.8</v>
      </c>
      <c r="AM14" s="167">
        <f t="shared" si="5"/>
        <v>12840289.5</v>
      </c>
      <c r="AN14" s="167">
        <f t="shared" si="5"/>
        <v>13096868.77</v>
      </c>
      <c r="AO14" s="167">
        <f t="shared" si="5"/>
        <v>13260765.2</v>
      </c>
      <c r="AP14" s="167">
        <f t="shared" si="5"/>
        <v>13479666.57</v>
      </c>
      <c r="AQ14" s="167">
        <f t="shared" si="5"/>
        <v>13676752.87</v>
      </c>
      <c r="AR14" s="167">
        <f t="shared" si="5"/>
        <v>14055030.51</v>
      </c>
      <c r="AS14" s="167">
        <f t="shared" si="5"/>
        <v>14386998.87</v>
      </c>
      <c r="AT14" s="167">
        <f t="shared" si="5"/>
        <v>14713338.52</v>
      </c>
      <c r="AU14" s="167">
        <f t="shared" si="5"/>
        <v>15104774.3</v>
      </c>
      <c r="AV14" s="167">
        <f t="shared" si="5"/>
        <v>15493851.91</v>
      </c>
      <c r="AW14" s="167">
        <f t="shared" si="5"/>
        <v>15903522.44</v>
      </c>
      <c r="AX14" s="167">
        <f t="shared" si="5"/>
        <v>16285936.13</v>
      </c>
      <c r="AY14" s="167">
        <f t="shared" si="5"/>
        <v>16795394.19</v>
      </c>
      <c r="AZ14" s="167">
        <f t="shared" si="5"/>
        <v>17372926.4</v>
      </c>
      <c r="BA14" s="167">
        <f t="shared" si="5"/>
        <v>17909325.37</v>
      </c>
    </row>
    <row r="15" ht="14.25" customHeight="1">
      <c r="A15" s="8" t="s">
        <v>730</v>
      </c>
      <c r="B15" s="166">
        <f t="shared" ref="B15:BA15" si="6">B14+B12</f>
        <v>-2075.333333</v>
      </c>
      <c r="C15" s="166">
        <f t="shared" si="6"/>
        <v>-4150.666667</v>
      </c>
      <c r="D15" s="166">
        <f t="shared" si="6"/>
        <v>-6226</v>
      </c>
      <c r="E15" s="166">
        <f t="shared" si="6"/>
        <v>311698.6667</v>
      </c>
      <c r="F15" s="166">
        <f t="shared" si="6"/>
        <v>478265.3333</v>
      </c>
      <c r="G15" s="166">
        <f t="shared" si="6"/>
        <v>436918</v>
      </c>
      <c r="H15" s="166">
        <f t="shared" si="6"/>
        <v>427126.4667</v>
      </c>
      <c r="I15" s="166">
        <f t="shared" si="6"/>
        <v>587334.9333</v>
      </c>
      <c r="J15" s="166">
        <f t="shared" si="6"/>
        <v>547543.4</v>
      </c>
      <c r="K15" s="166">
        <f t="shared" si="6"/>
        <v>499032.8667</v>
      </c>
      <c r="L15" s="166">
        <f t="shared" si="6"/>
        <v>474875.8</v>
      </c>
      <c r="M15" s="166">
        <f t="shared" si="6"/>
        <v>420718.7333</v>
      </c>
      <c r="N15" s="166">
        <f t="shared" si="6"/>
        <v>397759.7127</v>
      </c>
      <c r="O15" s="166">
        <f t="shared" si="6"/>
        <v>333879.3253</v>
      </c>
      <c r="P15" s="166">
        <f t="shared" si="6"/>
        <v>269998.938</v>
      </c>
      <c r="Q15" s="166">
        <f t="shared" si="6"/>
        <v>206118.5507</v>
      </c>
      <c r="R15" s="166">
        <f t="shared" si="6"/>
        <v>2081131.497</v>
      </c>
      <c r="S15" s="166">
        <f t="shared" si="6"/>
        <v>2074457.947</v>
      </c>
      <c r="T15" s="166">
        <f t="shared" si="6"/>
        <v>2108838.203</v>
      </c>
      <c r="U15" s="166">
        <f t="shared" si="6"/>
        <v>2101275.318</v>
      </c>
      <c r="V15" s="166">
        <f t="shared" si="6"/>
        <v>2093683.187</v>
      </c>
      <c r="W15" s="166">
        <f t="shared" si="6"/>
        <v>2017334.157</v>
      </c>
      <c r="X15" s="166">
        <f t="shared" si="6"/>
        <v>2126017.328</v>
      </c>
      <c r="Y15" s="166">
        <f t="shared" si="6"/>
        <v>2098446.105</v>
      </c>
      <c r="Z15" s="166">
        <f t="shared" si="6"/>
        <v>2149377.272</v>
      </c>
      <c r="AA15" s="166">
        <f t="shared" si="6"/>
        <v>2206856.669</v>
      </c>
      <c r="AB15" s="166">
        <f t="shared" si="6"/>
        <v>2202006.507</v>
      </c>
      <c r="AC15" s="166">
        <f t="shared" si="6"/>
        <v>2166788.894</v>
      </c>
      <c r="AD15" s="166">
        <f t="shared" si="6"/>
        <v>12016070.5</v>
      </c>
      <c r="AE15" s="166">
        <f t="shared" si="6"/>
        <v>12100039.49</v>
      </c>
      <c r="AF15" s="166">
        <f t="shared" si="6"/>
        <v>12189949.35</v>
      </c>
      <c r="AG15" s="166">
        <f t="shared" si="6"/>
        <v>12270948.38</v>
      </c>
      <c r="AH15" s="166">
        <f t="shared" si="6"/>
        <v>12500464.34</v>
      </c>
      <c r="AI15" s="166">
        <f t="shared" si="6"/>
        <v>12519516.48</v>
      </c>
      <c r="AJ15" s="166">
        <f t="shared" si="6"/>
        <v>12634451.19</v>
      </c>
      <c r="AK15" s="166">
        <f t="shared" si="6"/>
        <v>12732526.8</v>
      </c>
      <c r="AL15" s="166">
        <f t="shared" si="6"/>
        <v>12840289.5</v>
      </c>
      <c r="AM15" s="166">
        <f t="shared" si="6"/>
        <v>13096868.77</v>
      </c>
      <c r="AN15" s="166">
        <f t="shared" si="6"/>
        <v>13260765.2</v>
      </c>
      <c r="AO15" s="166">
        <f t="shared" si="6"/>
        <v>13479666.57</v>
      </c>
      <c r="AP15" s="166">
        <f t="shared" si="6"/>
        <v>13676752.87</v>
      </c>
      <c r="AQ15" s="166">
        <f t="shared" si="6"/>
        <v>14055030.51</v>
      </c>
      <c r="AR15" s="166">
        <f t="shared" si="6"/>
        <v>14386998.87</v>
      </c>
      <c r="AS15" s="166">
        <f t="shared" si="6"/>
        <v>14713338.52</v>
      </c>
      <c r="AT15" s="166">
        <f t="shared" si="6"/>
        <v>15104774.3</v>
      </c>
      <c r="AU15" s="166">
        <f t="shared" si="6"/>
        <v>15493851.91</v>
      </c>
      <c r="AV15" s="166">
        <f t="shared" si="6"/>
        <v>15903522.44</v>
      </c>
      <c r="AW15" s="166">
        <f t="shared" si="6"/>
        <v>16285936.13</v>
      </c>
      <c r="AX15" s="166">
        <f t="shared" si="6"/>
        <v>16795394.19</v>
      </c>
      <c r="AY15" s="166">
        <f t="shared" si="6"/>
        <v>17372926.4</v>
      </c>
      <c r="AZ15" s="166">
        <f t="shared" si="6"/>
        <v>17909325.37</v>
      </c>
      <c r="BA15" s="166">
        <f t="shared" si="6"/>
        <v>18468424.42</v>
      </c>
    </row>
    <row r="16" ht="14.25" customHeight="1"/>
    <row r="17" ht="14.25" customHeight="1">
      <c r="A17" s="135" t="s">
        <v>731</v>
      </c>
    </row>
    <row r="18" ht="14.25" customHeight="1">
      <c r="A18" s="7" t="s">
        <v>732</v>
      </c>
      <c r="B18" s="167">
        <f t="shared" ref="B18:BA18" si="7">IF(B12&lt;0,-B12,0)</f>
        <v>2075.333333</v>
      </c>
      <c r="C18" s="167">
        <f t="shared" si="7"/>
        <v>2075.333333</v>
      </c>
      <c r="D18" s="167">
        <f t="shared" si="7"/>
        <v>2075.333333</v>
      </c>
      <c r="E18" s="167">
        <f t="shared" si="7"/>
        <v>0</v>
      </c>
      <c r="F18" s="167">
        <f t="shared" si="7"/>
        <v>0</v>
      </c>
      <c r="G18" s="167">
        <f t="shared" si="7"/>
        <v>41347.33333</v>
      </c>
      <c r="H18" s="167">
        <f t="shared" si="7"/>
        <v>9791.533333</v>
      </c>
      <c r="I18" s="167">
        <f t="shared" si="7"/>
        <v>0</v>
      </c>
      <c r="J18" s="167">
        <f t="shared" si="7"/>
        <v>39791.53333</v>
      </c>
      <c r="K18" s="167">
        <f t="shared" si="7"/>
        <v>48510.53333</v>
      </c>
      <c r="L18" s="167">
        <f t="shared" si="7"/>
        <v>24157.06667</v>
      </c>
      <c r="M18" s="167">
        <f t="shared" si="7"/>
        <v>54157.06667</v>
      </c>
      <c r="N18" s="167">
        <f t="shared" si="7"/>
        <v>22959.02067</v>
      </c>
      <c r="O18" s="167">
        <f t="shared" si="7"/>
        <v>63880.38733</v>
      </c>
      <c r="P18" s="167">
        <f t="shared" si="7"/>
        <v>63880.38733</v>
      </c>
      <c r="Q18" s="167">
        <f t="shared" si="7"/>
        <v>63880.38733</v>
      </c>
      <c r="R18" s="167">
        <f t="shared" si="7"/>
        <v>0</v>
      </c>
      <c r="S18" s="167">
        <f t="shared" si="7"/>
        <v>6673.55</v>
      </c>
      <c r="T18" s="167">
        <f t="shared" si="7"/>
        <v>0</v>
      </c>
      <c r="U18" s="167">
        <f t="shared" si="7"/>
        <v>7562.884667</v>
      </c>
      <c r="V18" s="167">
        <f t="shared" si="7"/>
        <v>7592.130667</v>
      </c>
      <c r="W18" s="167">
        <f t="shared" si="7"/>
        <v>76349.03067</v>
      </c>
      <c r="X18" s="167">
        <f t="shared" si="7"/>
        <v>0</v>
      </c>
      <c r="Y18" s="167">
        <f t="shared" si="7"/>
        <v>27571.22267</v>
      </c>
      <c r="Z18" s="167">
        <f t="shared" si="7"/>
        <v>0</v>
      </c>
      <c r="AA18" s="167">
        <f t="shared" si="7"/>
        <v>0</v>
      </c>
      <c r="AB18" s="167">
        <f t="shared" si="7"/>
        <v>4850.161347</v>
      </c>
      <c r="AC18" s="167">
        <f t="shared" si="7"/>
        <v>35217.61319</v>
      </c>
      <c r="AD18" s="167">
        <f t="shared" si="7"/>
        <v>0</v>
      </c>
      <c r="AE18" s="167">
        <f t="shared" si="7"/>
        <v>0</v>
      </c>
      <c r="AF18" s="167">
        <f t="shared" si="7"/>
        <v>0</v>
      </c>
      <c r="AG18" s="167">
        <f t="shared" si="7"/>
        <v>0</v>
      </c>
      <c r="AH18" s="167">
        <f t="shared" si="7"/>
        <v>0</v>
      </c>
      <c r="AI18" s="167">
        <f t="shared" si="7"/>
        <v>0</v>
      </c>
      <c r="AJ18" s="167">
        <f t="shared" si="7"/>
        <v>0</v>
      </c>
      <c r="AK18" s="167">
        <f t="shared" si="7"/>
        <v>0</v>
      </c>
      <c r="AL18" s="167">
        <f t="shared" si="7"/>
        <v>0</v>
      </c>
      <c r="AM18" s="167">
        <f t="shared" si="7"/>
        <v>0</v>
      </c>
      <c r="AN18" s="167">
        <f t="shared" si="7"/>
        <v>0</v>
      </c>
      <c r="AO18" s="167">
        <f t="shared" si="7"/>
        <v>0</v>
      </c>
      <c r="AP18" s="167">
        <f t="shared" si="7"/>
        <v>0</v>
      </c>
      <c r="AQ18" s="167">
        <f t="shared" si="7"/>
        <v>0</v>
      </c>
      <c r="AR18" s="167">
        <f t="shared" si="7"/>
        <v>0</v>
      </c>
      <c r="AS18" s="167">
        <f t="shared" si="7"/>
        <v>0</v>
      </c>
      <c r="AT18" s="167">
        <f t="shared" si="7"/>
        <v>0</v>
      </c>
      <c r="AU18" s="167">
        <f t="shared" si="7"/>
        <v>0</v>
      </c>
      <c r="AV18" s="167">
        <f t="shared" si="7"/>
        <v>0</v>
      </c>
      <c r="AW18" s="167">
        <f t="shared" si="7"/>
        <v>0</v>
      </c>
      <c r="AX18" s="167">
        <f t="shared" si="7"/>
        <v>0</v>
      </c>
      <c r="AY18" s="167">
        <f t="shared" si="7"/>
        <v>0</v>
      </c>
      <c r="AZ18" s="167">
        <f t="shared" si="7"/>
        <v>0</v>
      </c>
      <c r="BA18" s="167">
        <f t="shared" si="7"/>
        <v>0</v>
      </c>
    </row>
    <row r="19" ht="14.25" customHeight="1">
      <c r="A19" s="7" t="s">
        <v>733</v>
      </c>
      <c r="B19" s="177">
        <f t="shared" ref="B19:BA19" si="8">IFERROR(IF(B18&gt;0,B15/B18,"∞"),"∞")</f>
        <v>-1</v>
      </c>
      <c r="C19" s="177">
        <f t="shared" si="8"/>
        <v>-2</v>
      </c>
      <c r="D19" s="177">
        <f t="shared" si="8"/>
        <v>-3</v>
      </c>
      <c r="E19" s="177" t="str">
        <f t="shared" si="8"/>
        <v>∞</v>
      </c>
      <c r="F19" s="177" t="str">
        <f t="shared" si="8"/>
        <v>∞</v>
      </c>
      <c r="G19" s="177">
        <f t="shared" si="8"/>
        <v>10.56701762</v>
      </c>
      <c r="H19" s="177">
        <f t="shared" si="8"/>
        <v>43.62202038</v>
      </c>
      <c r="I19" s="177" t="str">
        <f t="shared" si="8"/>
        <v>∞</v>
      </c>
      <c r="J19" s="177">
        <f t="shared" si="8"/>
        <v>13.76029909</v>
      </c>
      <c r="K19" s="177">
        <f t="shared" si="8"/>
        <v>10.28710328</v>
      </c>
      <c r="L19" s="177">
        <f t="shared" si="8"/>
        <v>19.65784201</v>
      </c>
      <c r="M19" s="177">
        <f t="shared" si="8"/>
        <v>7.768491893</v>
      </c>
      <c r="N19" s="177">
        <f t="shared" si="8"/>
        <v>17.32476827</v>
      </c>
      <c r="O19" s="177">
        <f t="shared" si="8"/>
        <v>5.226632763</v>
      </c>
      <c r="P19" s="177">
        <f t="shared" si="8"/>
        <v>4.226632763</v>
      </c>
      <c r="Q19" s="177">
        <f t="shared" si="8"/>
        <v>3.226632763</v>
      </c>
      <c r="R19" s="177" t="str">
        <f t="shared" si="8"/>
        <v>∞</v>
      </c>
      <c r="S19" s="177">
        <f t="shared" si="8"/>
        <v>310.8477417</v>
      </c>
      <c r="T19" s="177" t="str">
        <f t="shared" si="8"/>
        <v>∞</v>
      </c>
      <c r="U19" s="177">
        <f t="shared" si="8"/>
        <v>277.8404551</v>
      </c>
      <c r="V19" s="177">
        <f t="shared" si="8"/>
        <v>275.770173</v>
      </c>
      <c r="W19" s="177">
        <f t="shared" si="8"/>
        <v>26.4225248</v>
      </c>
      <c r="X19" s="177" t="str">
        <f t="shared" si="8"/>
        <v>∞</v>
      </c>
      <c r="Y19" s="177">
        <f t="shared" si="8"/>
        <v>76.11001263</v>
      </c>
      <c r="Z19" s="177" t="str">
        <f t="shared" si="8"/>
        <v>∞</v>
      </c>
      <c r="AA19" s="177" t="str">
        <f t="shared" si="8"/>
        <v>∞</v>
      </c>
      <c r="AB19" s="177">
        <f t="shared" si="8"/>
        <v>454.0068567</v>
      </c>
      <c r="AC19" s="177">
        <f t="shared" si="8"/>
        <v>61.52571677</v>
      </c>
      <c r="AD19" s="177" t="str">
        <f t="shared" si="8"/>
        <v>∞</v>
      </c>
      <c r="AE19" s="177" t="str">
        <f t="shared" si="8"/>
        <v>∞</v>
      </c>
      <c r="AF19" s="177" t="str">
        <f t="shared" si="8"/>
        <v>∞</v>
      </c>
      <c r="AG19" s="177" t="str">
        <f t="shared" si="8"/>
        <v>∞</v>
      </c>
      <c r="AH19" s="177" t="str">
        <f t="shared" si="8"/>
        <v>∞</v>
      </c>
      <c r="AI19" s="177" t="str">
        <f t="shared" si="8"/>
        <v>∞</v>
      </c>
      <c r="AJ19" s="177" t="str">
        <f t="shared" si="8"/>
        <v>∞</v>
      </c>
      <c r="AK19" s="177" t="str">
        <f t="shared" si="8"/>
        <v>∞</v>
      </c>
      <c r="AL19" s="177" t="str">
        <f t="shared" si="8"/>
        <v>∞</v>
      </c>
      <c r="AM19" s="177" t="str">
        <f t="shared" si="8"/>
        <v>∞</v>
      </c>
      <c r="AN19" s="177" t="str">
        <f t="shared" si="8"/>
        <v>∞</v>
      </c>
      <c r="AO19" s="177" t="str">
        <f t="shared" si="8"/>
        <v>∞</v>
      </c>
      <c r="AP19" s="177" t="str">
        <f t="shared" si="8"/>
        <v>∞</v>
      </c>
      <c r="AQ19" s="177" t="str">
        <f t="shared" si="8"/>
        <v>∞</v>
      </c>
      <c r="AR19" s="177" t="str">
        <f t="shared" si="8"/>
        <v>∞</v>
      </c>
      <c r="AS19" s="177" t="str">
        <f t="shared" si="8"/>
        <v>∞</v>
      </c>
      <c r="AT19" s="177" t="str">
        <f t="shared" si="8"/>
        <v>∞</v>
      </c>
      <c r="AU19" s="177" t="str">
        <f t="shared" si="8"/>
        <v>∞</v>
      </c>
      <c r="AV19" s="177" t="str">
        <f t="shared" si="8"/>
        <v>∞</v>
      </c>
      <c r="AW19" s="177" t="str">
        <f t="shared" si="8"/>
        <v>∞</v>
      </c>
      <c r="AX19" s="177" t="str">
        <f t="shared" si="8"/>
        <v>∞</v>
      </c>
      <c r="AY19" s="177" t="str">
        <f t="shared" si="8"/>
        <v>∞</v>
      </c>
      <c r="AZ19" s="177" t="str">
        <f t="shared" si="8"/>
        <v>∞</v>
      </c>
      <c r="BA19" s="177" t="str">
        <f t="shared" si="8"/>
        <v>∞</v>
      </c>
    </row>
    <row r="20" ht="14.25" customHeight="1">
      <c r="A20" s="7" t="s">
        <v>734</v>
      </c>
      <c r="B20" s="7" t="str">
        <f t="shared" ref="B20:BA20" si="9">IF(ISNUMBER(B19),IF(B19&lt;6,"WARNUNG","OK"),"OK")</f>
        <v>WARNUNG</v>
      </c>
      <c r="C20" s="7" t="str">
        <f t="shared" si="9"/>
        <v>WARNUNG</v>
      </c>
      <c r="D20" s="7" t="str">
        <f t="shared" si="9"/>
        <v>WARNUNG</v>
      </c>
      <c r="E20" s="7" t="str">
        <f t="shared" si="9"/>
        <v>OK</v>
      </c>
      <c r="F20" s="7" t="str">
        <f t="shared" si="9"/>
        <v>OK</v>
      </c>
      <c r="G20" s="7" t="str">
        <f t="shared" si="9"/>
        <v>OK</v>
      </c>
      <c r="H20" s="7" t="str">
        <f t="shared" si="9"/>
        <v>OK</v>
      </c>
      <c r="I20" s="7" t="str">
        <f t="shared" si="9"/>
        <v>OK</v>
      </c>
      <c r="J20" s="7" t="str">
        <f t="shared" si="9"/>
        <v>OK</v>
      </c>
      <c r="K20" s="7" t="str">
        <f t="shared" si="9"/>
        <v>OK</v>
      </c>
      <c r="L20" s="7" t="str">
        <f t="shared" si="9"/>
        <v>OK</v>
      </c>
      <c r="M20" s="7" t="str">
        <f t="shared" si="9"/>
        <v>OK</v>
      </c>
      <c r="N20" s="7" t="str">
        <f t="shared" si="9"/>
        <v>OK</v>
      </c>
      <c r="O20" s="7" t="str">
        <f t="shared" si="9"/>
        <v>WARNUNG</v>
      </c>
      <c r="P20" s="7" t="str">
        <f t="shared" si="9"/>
        <v>WARNUNG</v>
      </c>
      <c r="Q20" s="7" t="str">
        <f t="shared" si="9"/>
        <v>WARNUNG</v>
      </c>
      <c r="R20" s="7" t="str">
        <f t="shared" si="9"/>
        <v>OK</v>
      </c>
      <c r="S20" s="7" t="str">
        <f t="shared" si="9"/>
        <v>OK</v>
      </c>
      <c r="T20" s="7" t="str">
        <f t="shared" si="9"/>
        <v>OK</v>
      </c>
      <c r="U20" s="7" t="str">
        <f t="shared" si="9"/>
        <v>OK</v>
      </c>
      <c r="V20" s="7" t="str">
        <f t="shared" si="9"/>
        <v>OK</v>
      </c>
      <c r="W20" s="7" t="str">
        <f t="shared" si="9"/>
        <v>OK</v>
      </c>
      <c r="X20" s="7" t="str">
        <f t="shared" si="9"/>
        <v>OK</v>
      </c>
      <c r="Y20" s="7" t="str">
        <f t="shared" si="9"/>
        <v>OK</v>
      </c>
      <c r="Z20" s="7" t="str">
        <f t="shared" si="9"/>
        <v>OK</v>
      </c>
      <c r="AA20" s="7" t="str">
        <f t="shared" si="9"/>
        <v>OK</v>
      </c>
      <c r="AB20" s="7" t="str">
        <f t="shared" si="9"/>
        <v>OK</v>
      </c>
      <c r="AC20" s="7" t="str">
        <f t="shared" si="9"/>
        <v>OK</v>
      </c>
      <c r="AD20" s="7" t="str">
        <f t="shared" si="9"/>
        <v>OK</v>
      </c>
      <c r="AE20" s="7" t="str">
        <f t="shared" si="9"/>
        <v>OK</v>
      </c>
      <c r="AF20" s="7" t="str">
        <f t="shared" si="9"/>
        <v>OK</v>
      </c>
      <c r="AG20" s="7" t="str">
        <f t="shared" si="9"/>
        <v>OK</v>
      </c>
      <c r="AH20" s="7" t="str">
        <f t="shared" si="9"/>
        <v>OK</v>
      </c>
      <c r="AI20" s="7" t="str">
        <f t="shared" si="9"/>
        <v>OK</v>
      </c>
      <c r="AJ20" s="7" t="str">
        <f t="shared" si="9"/>
        <v>OK</v>
      </c>
      <c r="AK20" s="7" t="str">
        <f t="shared" si="9"/>
        <v>OK</v>
      </c>
      <c r="AL20" s="7" t="str">
        <f t="shared" si="9"/>
        <v>OK</v>
      </c>
      <c r="AM20" s="7" t="str">
        <f t="shared" si="9"/>
        <v>OK</v>
      </c>
      <c r="AN20" s="7" t="str">
        <f t="shared" si="9"/>
        <v>OK</v>
      </c>
      <c r="AO20" s="7" t="str">
        <f t="shared" si="9"/>
        <v>OK</v>
      </c>
      <c r="AP20" s="7" t="str">
        <f t="shared" si="9"/>
        <v>OK</v>
      </c>
      <c r="AQ20" s="7" t="str">
        <f t="shared" si="9"/>
        <v>OK</v>
      </c>
      <c r="AR20" s="7" t="str">
        <f t="shared" si="9"/>
        <v>OK</v>
      </c>
      <c r="AS20" s="7" t="str">
        <f t="shared" si="9"/>
        <v>OK</v>
      </c>
      <c r="AT20" s="7" t="str">
        <f t="shared" si="9"/>
        <v>OK</v>
      </c>
      <c r="AU20" s="7" t="str">
        <f t="shared" si="9"/>
        <v>OK</v>
      </c>
      <c r="AV20" s="7" t="str">
        <f t="shared" si="9"/>
        <v>OK</v>
      </c>
      <c r="AW20" s="7" t="str">
        <f t="shared" si="9"/>
        <v>OK</v>
      </c>
      <c r="AX20" s="7" t="str">
        <f t="shared" si="9"/>
        <v>OK</v>
      </c>
      <c r="AY20" s="7" t="str">
        <f t="shared" si="9"/>
        <v>OK</v>
      </c>
      <c r="AZ20" s="7" t="str">
        <f t="shared" si="9"/>
        <v>OK</v>
      </c>
      <c r="BA20" s="7" t="str">
        <f t="shared" si="9"/>
        <v>OK</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2026-03-04T23:13:35Z</dcterms:created>
  <dc:creator>openpyxl</dc:creator>
</cp:coreProperties>
</file>