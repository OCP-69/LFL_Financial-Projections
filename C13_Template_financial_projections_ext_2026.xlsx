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Geteilte Ablagen\LoopForgeLab\G_Admin\C13_Programme\C13 Dataroom for Investors\Financial Projection\C13_Fin Proj_final Files\Final\"/>
    </mc:Choice>
  </mc:AlternateContent>
  <xr:revisionPtr revIDLastSave="0" documentId="8_{7181E702-363E-4045-B1CA-3207541183F3}" xr6:coauthVersionLast="47" xr6:coauthVersionMax="47" xr10:uidLastSave="{00000000-0000-0000-0000-000000000000}"/>
  <bookViews>
    <workbookView xWindow="-110" yWindow="-110" windowWidth="25820" windowHeight="15500" xr2:uid="{157E7369-C5E2-3A40-8FC7-77022E8FBA71}"/>
  </bookViews>
  <sheets>
    <sheet name="Performance Dashboard" sheetId="6" r:id="rId1"/>
    <sheet name="Control Panel" sheetId="2" r:id="rId2"/>
    <sheet name="Startup &amp; Pre-Opening Costs" sheetId="5" r:id="rId3"/>
    <sheet name="Year 1 Cash Budget" sheetId="3" r:id="rId4"/>
    <sheet name="Financial Statements" sheetId="4" r:id="rId5"/>
    <sheet name="Year 2 Cash Budget" sheetId="8" r:id="rId6"/>
    <sheet name="Year 3 Cash Budget" sheetId="9" r:id="rId7"/>
    <sheet name="Year 4 Cash Budget" sheetId="10" r:id="rId8"/>
    <sheet name="Year 5 Cash Budget" sheetId="11" r:id="rId9"/>
    <sheet name="Balances" sheetId="12" r:id="rId10"/>
  </sheets>
  <calcPr calcId="191028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7" i="2"/>
  <c r="D11" i="2"/>
  <c r="D17" i="2"/>
  <c r="G17" i="2"/>
  <c r="D18" i="2"/>
  <c r="G18" i="2"/>
  <c r="D20" i="2"/>
  <c r="G20" i="2"/>
  <c r="D22" i="2"/>
  <c r="G22" i="2"/>
  <c r="I1" i="2"/>
  <c r="E1" i="2"/>
  <c r="F1" i="2"/>
  <c r="G1" i="2"/>
  <c r="H1" i="2"/>
  <c r="B23" i="6"/>
  <c r="E22" i="2" s="1"/>
  <c r="A12" i="6"/>
  <c r="C34" i="4"/>
  <c r="D34" i="4"/>
  <c r="E34" i="4"/>
  <c r="F34" i="4"/>
  <c r="B34" i="4"/>
  <c r="E6" i="3"/>
  <c r="F6" i="3" s="1"/>
  <c r="G6" i="3" s="1"/>
  <c r="H6" i="3" s="1"/>
  <c r="I6" i="3" s="1"/>
  <c r="J6" i="3" s="1"/>
  <c r="K6" i="3" s="1"/>
  <c r="L6" i="3" s="1"/>
  <c r="M6" i="3" s="1"/>
  <c r="N6" i="3" s="1"/>
  <c r="D6" i="3"/>
  <c r="A16" i="6"/>
  <c r="D15" i="2" s="1"/>
  <c r="A15" i="6"/>
  <c r="D14" i="2" s="1"/>
  <c r="A10" i="6"/>
  <c r="D9" i="2" s="1"/>
  <c r="A11" i="6"/>
  <c r="D10" i="2" s="1"/>
  <c r="A13" i="6"/>
  <c r="D12" i="2" s="1"/>
  <c r="C8" i="12" l="1"/>
  <c r="D8" i="12"/>
  <c r="E8" i="12"/>
  <c r="F8" i="12"/>
  <c r="G8" i="12"/>
  <c r="H8" i="12"/>
  <c r="I8" i="12"/>
  <c r="J8" i="12"/>
  <c r="K8" i="12"/>
  <c r="L8" i="12"/>
  <c r="M8" i="12"/>
  <c r="N8" i="12"/>
  <c r="O8" i="12"/>
  <c r="P8" i="12"/>
  <c r="Q8" i="12"/>
  <c r="R8" i="12"/>
  <c r="S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AJ8" i="12"/>
  <c r="AK8" i="12"/>
  <c r="AL8" i="12"/>
  <c r="AM8" i="12"/>
  <c r="AN8" i="12"/>
  <c r="AO8" i="12"/>
  <c r="AP8" i="12"/>
  <c r="AQ8" i="12"/>
  <c r="AR8" i="12"/>
  <c r="AS8" i="12"/>
  <c r="AT8" i="12"/>
  <c r="AU8" i="12"/>
  <c r="AV8" i="12"/>
  <c r="AW8" i="12"/>
  <c r="AX8" i="12"/>
  <c r="AY8" i="12"/>
  <c r="AZ8" i="12"/>
  <c r="BA8" i="12"/>
  <c r="BB8" i="12"/>
  <c r="BC8" i="12"/>
  <c r="BD8" i="12"/>
  <c r="BE8" i="12"/>
  <c r="BF8" i="12"/>
  <c r="BG8" i="12"/>
  <c r="BH8" i="12"/>
  <c r="BI8" i="12"/>
  <c r="B8" i="12"/>
  <c r="C5" i="3"/>
  <c r="D5" i="3" s="1"/>
  <c r="M44" i="11"/>
  <c r="L44" i="11"/>
  <c r="K44" i="11"/>
  <c r="J44" i="11"/>
  <c r="I44" i="11"/>
  <c r="H44" i="11"/>
  <c r="G44" i="11"/>
  <c r="F44" i="11"/>
  <c r="E44" i="11"/>
  <c r="D44" i="11"/>
  <c r="C44" i="11"/>
  <c r="B44" i="11"/>
  <c r="N43" i="11"/>
  <c r="N42" i="11"/>
  <c r="N41" i="11"/>
  <c r="N40" i="11"/>
  <c r="N16" i="11"/>
  <c r="B3" i="11"/>
  <c r="C6" i="8"/>
  <c r="C6" i="9" s="1"/>
  <c r="D6" i="8"/>
  <c r="D6" i="9" s="1"/>
  <c r="E6" i="8"/>
  <c r="E6" i="9" s="1"/>
  <c r="F6" i="8"/>
  <c r="F6" i="9" s="1"/>
  <c r="G6" i="8"/>
  <c r="G6" i="9" s="1"/>
  <c r="H6" i="8"/>
  <c r="H6" i="9" s="1"/>
  <c r="I6" i="8"/>
  <c r="I6" i="9" s="1"/>
  <c r="J6" i="8"/>
  <c r="J6" i="9" s="1"/>
  <c r="K6" i="8"/>
  <c r="K6" i="9" s="1"/>
  <c r="K6" i="11" s="1"/>
  <c r="L6" i="8"/>
  <c r="L6" i="9" s="1"/>
  <c r="M6" i="8"/>
  <c r="M6" i="9" s="1"/>
  <c r="B6" i="8"/>
  <c r="B6" i="9" s="1"/>
  <c r="B6" i="10" s="1"/>
  <c r="B6" i="11" s="1"/>
  <c r="M44" i="10"/>
  <c r="L44" i="10"/>
  <c r="K44" i="10"/>
  <c r="J44" i="10"/>
  <c r="I44" i="10"/>
  <c r="H44" i="10"/>
  <c r="G44" i="10"/>
  <c r="F44" i="10"/>
  <c r="E44" i="10"/>
  <c r="D44" i="10"/>
  <c r="C44" i="10"/>
  <c r="B44" i="10"/>
  <c r="N43" i="10"/>
  <c r="N42" i="10"/>
  <c r="N41" i="10"/>
  <c r="N40" i="10"/>
  <c r="N16" i="10"/>
  <c r="B3" i="10"/>
  <c r="C3" i="10" s="1"/>
  <c r="D23" i="9"/>
  <c r="D23" i="10" s="1"/>
  <c r="D23" i="11" s="1"/>
  <c r="B25" i="9"/>
  <c r="B25" i="10" s="1"/>
  <c r="B25" i="11" s="1"/>
  <c r="F25" i="9"/>
  <c r="F25" i="10" s="1"/>
  <c r="F25" i="11" s="1"/>
  <c r="G25" i="9"/>
  <c r="G25" i="10" s="1"/>
  <c r="G25" i="11" s="1"/>
  <c r="I25" i="9"/>
  <c r="I25" i="10" s="1"/>
  <c r="I25" i="11" s="1"/>
  <c r="K25" i="9"/>
  <c r="K25" i="10" s="1"/>
  <c r="K25" i="11" s="1"/>
  <c r="L25" i="9"/>
  <c r="L25" i="10" s="1"/>
  <c r="E26" i="9"/>
  <c r="E26" i="10" s="1"/>
  <c r="E26" i="11" s="1"/>
  <c r="F26" i="9"/>
  <c r="F26" i="10" s="1"/>
  <c r="F26" i="11" s="1"/>
  <c r="H26" i="9"/>
  <c r="H26" i="10" s="1"/>
  <c r="H26" i="11" s="1"/>
  <c r="J26" i="9"/>
  <c r="J26" i="10" s="1"/>
  <c r="J26" i="11" s="1"/>
  <c r="K26" i="9"/>
  <c r="K26" i="10" s="1"/>
  <c r="K26" i="11" s="1"/>
  <c r="C28" i="9"/>
  <c r="C28" i="10" s="1"/>
  <c r="C28" i="11" s="1"/>
  <c r="D28" i="9"/>
  <c r="D28" i="10" s="1"/>
  <c r="D28" i="11" s="1"/>
  <c r="F28" i="9"/>
  <c r="F28" i="10" s="1"/>
  <c r="F28" i="11" s="1"/>
  <c r="H28" i="9"/>
  <c r="H28" i="10" s="1"/>
  <c r="H28" i="11" s="1"/>
  <c r="I28" i="9"/>
  <c r="I28" i="10" s="1"/>
  <c r="M28" i="9"/>
  <c r="M28" i="10" s="1"/>
  <c r="M28" i="11" s="1"/>
  <c r="C29" i="9"/>
  <c r="C29" i="10" s="1"/>
  <c r="C29" i="11" s="1"/>
  <c r="E29" i="9"/>
  <c r="E29" i="10" s="1"/>
  <c r="E29" i="11" s="1"/>
  <c r="G29" i="9"/>
  <c r="G29" i="10" s="1"/>
  <c r="G29" i="11" s="1"/>
  <c r="H29" i="9"/>
  <c r="H29" i="10" s="1"/>
  <c r="H29" i="11" s="1"/>
  <c r="L29" i="9"/>
  <c r="L29" i="10" s="1"/>
  <c r="L29" i="11" s="1"/>
  <c r="M29" i="9"/>
  <c r="M29" i="10" s="1"/>
  <c r="M29" i="11" s="1"/>
  <c r="C32" i="9"/>
  <c r="C32" i="10" s="1"/>
  <c r="C32" i="11" s="1"/>
  <c r="E32" i="9"/>
  <c r="E32" i="10" s="1"/>
  <c r="E32" i="11" s="1"/>
  <c r="F32" i="9"/>
  <c r="F32" i="10" s="1"/>
  <c r="F32" i="11" s="1"/>
  <c r="J32" i="9"/>
  <c r="J32" i="10" s="1"/>
  <c r="J32" i="11" s="1"/>
  <c r="K32" i="9"/>
  <c r="K32" i="10" s="1"/>
  <c r="K32" i="11" s="1"/>
  <c r="M32" i="9"/>
  <c r="M32" i="10" s="1"/>
  <c r="M32" i="11" s="1"/>
  <c r="C33" i="9"/>
  <c r="C33" i="10" s="1"/>
  <c r="C33" i="11" s="1"/>
  <c r="D33" i="9"/>
  <c r="D33" i="10" s="1"/>
  <c r="D33" i="11" s="1"/>
  <c r="H33" i="9"/>
  <c r="H33" i="10" s="1"/>
  <c r="H33" i="11" s="1"/>
  <c r="I33" i="9"/>
  <c r="I33" i="10" s="1"/>
  <c r="I33" i="11" s="1"/>
  <c r="K33" i="9"/>
  <c r="K33" i="10" s="1"/>
  <c r="K33" i="11" s="1"/>
  <c r="M33" i="9"/>
  <c r="M33" i="10" s="1"/>
  <c r="M33" i="11" s="1"/>
  <c r="C34" i="9"/>
  <c r="C34" i="10" s="1"/>
  <c r="C34" i="11" s="1"/>
  <c r="G34" i="9"/>
  <c r="G34" i="10" s="1"/>
  <c r="G34" i="11" s="1"/>
  <c r="H34" i="9"/>
  <c r="H34" i="10" s="1"/>
  <c r="H34" i="11" s="1"/>
  <c r="J34" i="9"/>
  <c r="J34" i="10" s="1"/>
  <c r="J34" i="11" s="1"/>
  <c r="L34" i="9"/>
  <c r="L34" i="10" s="1"/>
  <c r="L34" i="11" s="1"/>
  <c r="M34" i="9"/>
  <c r="M34" i="10" s="1"/>
  <c r="M34" i="11" s="1"/>
  <c r="F22" i="9"/>
  <c r="F22" i="10" s="1"/>
  <c r="F22" i="11" s="1"/>
  <c r="G22" i="9"/>
  <c r="G22" i="10" s="1"/>
  <c r="G22" i="11" s="1"/>
  <c r="I22" i="9"/>
  <c r="I22" i="10" s="1"/>
  <c r="I22" i="11" s="1"/>
  <c r="K22" i="9"/>
  <c r="K22" i="10" s="1"/>
  <c r="K22" i="11" s="1"/>
  <c r="L22" i="9"/>
  <c r="L22" i="10" s="1"/>
  <c r="L22" i="11" s="1"/>
  <c r="M44" i="9"/>
  <c r="L44" i="9"/>
  <c r="K44" i="9"/>
  <c r="J44" i="9"/>
  <c r="I44" i="9"/>
  <c r="H44" i="9"/>
  <c r="G44" i="9"/>
  <c r="F44" i="9"/>
  <c r="E44" i="9"/>
  <c r="D44" i="9"/>
  <c r="C44" i="9"/>
  <c r="B44" i="9"/>
  <c r="N43" i="9"/>
  <c r="N42" i="9"/>
  <c r="N41" i="9"/>
  <c r="N40" i="9"/>
  <c r="N16" i="9"/>
  <c r="B3" i="9"/>
  <c r="C3" i="9" s="1"/>
  <c r="B23" i="8"/>
  <c r="B23" i="9" s="1"/>
  <c r="B23" i="10" s="1"/>
  <c r="B23" i="11" s="1"/>
  <c r="C23" i="8"/>
  <c r="C23" i="9" s="1"/>
  <c r="C23" i="10" s="1"/>
  <c r="C23" i="11" s="1"/>
  <c r="D23" i="8"/>
  <c r="B24" i="8"/>
  <c r="B24" i="9" s="1"/>
  <c r="B24" i="10" s="1"/>
  <c r="B24" i="11" s="1"/>
  <c r="C24" i="8"/>
  <c r="C24" i="9" s="1"/>
  <c r="C24" i="10" s="1"/>
  <c r="C24" i="11" s="1"/>
  <c r="D24" i="8"/>
  <c r="D24" i="9" s="1"/>
  <c r="D24" i="10" s="1"/>
  <c r="D24" i="11" s="1"/>
  <c r="B25" i="8"/>
  <c r="N25" i="8" s="1"/>
  <c r="C25" i="8"/>
  <c r="C25" i="9" s="1"/>
  <c r="C25" i="10" s="1"/>
  <c r="C25" i="11" s="1"/>
  <c r="D25" i="8"/>
  <c r="D25" i="9" s="1"/>
  <c r="D25" i="10" s="1"/>
  <c r="D25" i="11" s="1"/>
  <c r="E25" i="8"/>
  <c r="E25" i="9" s="1"/>
  <c r="E25" i="10" s="1"/>
  <c r="E25" i="11" s="1"/>
  <c r="F25" i="8"/>
  <c r="G25" i="8"/>
  <c r="H25" i="8"/>
  <c r="H25" i="9" s="1"/>
  <c r="I25" i="8"/>
  <c r="J25" i="8"/>
  <c r="J25" i="9" s="1"/>
  <c r="J25" i="10" s="1"/>
  <c r="J25" i="11" s="1"/>
  <c r="K25" i="8"/>
  <c r="L25" i="8"/>
  <c r="M25" i="8"/>
  <c r="M25" i="9" s="1"/>
  <c r="M25" i="10" s="1"/>
  <c r="M25" i="11" s="1"/>
  <c r="C26" i="8"/>
  <c r="C26" i="9" s="1"/>
  <c r="C26" i="10" s="1"/>
  <c r="C26" i="11" s="1"/>
  <c r="D26" i="8"/>
  <c r="D26" i="9" s="1"/>
  <c r="D26" i="10" s="1"/>
  <c r="D26" i="11" s="1"/>
  <c r="E26" i="8"/>
  <c r="F26" i="8"/>
  <c r="G26" i="8"/>
  <c r="G26" i="9" s="1"/>
  <c r="G26" i="10" s="1"/>
  <c r="G26" i="11" s="1"/>
  <c r="H26" i="8"/>
  <c r="I26" i="8"/>
  <c r="I26" i="9" s="1"/>
  <c r="I26" i="10" s="1"/>
  <c r="I26" i="11" s="1"/>
  <c r="J26" i="8"/>
  <c r="K26" i="8"/>
  <c r="L26" i="8"/>
  <c r="L26" i="9" s="1"/>
  <c r="L26" i="10" s="1"/>
  <c r="L26" i="11" s="1"/>
  <c r="M26" i="8"/>
  <c r="M26" i="9" s="1"/>
  <c r="M26" i="10" s="1"/>
  <c r="M26" i="11" s="1"/>
  <c r="B28" i="8"/>
  <c r="B28" i="9" s="1"/>
  <c r="B28" i="10" s="1"/>
  <c r="B28" i="11" s="1"/>
  <c r="C28" i="8"/>
  <c r="D28" i="8"/>
  <c r="E28" i="8"/>
  <c r="E28" i="9" s="1"/>
  <c r="E28" i="10" s="1"/>
  <c r="E28" i="11" s="1"/>
  <c r="F28" i="8"/>
  <c r="G28" i="8"/>
  <c r="G28" i="9" s="1"/>
  <c r="G28" i="10" s="1"/>
  <c r="G28" i="11" s="1"/>
  <c r="H28" i="8"/>
  <c r="I28" i="8"/>
  <c r="J28" i="8"/>
  <c r="J28" i="9" s="1"/>
  <c r="J28" i="10" s="1"/>
  <c r="J28" i="11" s="1"/>
  <c r="K28" i="8"/>
  <c r="K28" i="9" s="1"/>
  <c r="L28" i="8"/>
  <c r="L28" i="9" s="1"/>
  <c r="L28" i="10" s="1"/>
  <c r="L28" i="11" s="1"/>
  <c r="M28" i="8"/>
  <c r="C29" i="8"/>
  <c r="D29" i="8"/>
  <c r="D29" i="9" s="1"/>
  <c r="D29" i="10" s="1"/>
  <c r="D29" i="11" s="1"/>
  <c r="E29" i="8"/>
  <c r="F29" i="8"/>
  <c r="F29" i="9" s="1"/>
  <c r="F29" i="10" s="1"/>
  <c r="F29" i="11" s="1"/>
  <c r="G29" i="8"/>
  <c r="H29" i="8"/>
  <c r="I29" i="8"/>
  <c r="I29" i="9" s="1"/>
  <c r="I29" i="10" s="1"/>
  <c r="I29" i="11" s="1"/>
  <c r="J29" i="8"/>
  <c r="J29" i="9" s="1"/>
  <c r="J29" i="10" s="1"/>
  <c r="J29" i="11" s="1"/>
  <c r="K29" i="8"/>
  <c r="K29" i="9" s="1"/>
  <c r="K29" i="10" s="1"/>
  <c r="K29" i="11" s="1"/>
  <c r="L29" i="8"/>
  <c r="M29" i="8"/>
  <c r="B32" i="8"/>
  <c r="B32" i="9" s="1"/>
  <c r="B32" i="10" s="1"/>
  <c r="B32" i="11" s="1"/>
  <c r="C32" i="8"/>
  <c r="D32" i="8"/>
  <c r="D32" i="9" s="1"/>
  <c r="D32" i="10" s="1"/>
  <c r="D32" i="11" s="1"/>
  <c r="E32" i="8"/>
  <c r="F32" i="8"/>
  <c r="G32" i="8"/>
  <c r="G32" i="9" s="1"/>
  <c r="G32" i="10" s="1"/>
  <c r="H32" i="8"/>
  <c r="H32" i="9" s="1"/>
  <c r="H32" i="10" s="1"/>
  <c r="H32" i="11" s="1"/>
  <c r="I32" i="8"/>
  <c r="I32" i="9" s="1"/>
  <c r="I32" i="10" s="1"/>
  <c r="I32" i="11" s="1"/>
  <c r="J32" i="8"/>
  <c r="K32" i="8"/>
  <c r="L32" i="8"/>
  <c r="L32" i="9" s="1"/>
  <c r="L32" i="10" s="1"/>
  <c r="L32" i="11" s="1"/>
  <c r="M32" i="8"/>
  <c r="B33" i="8"/>
  <c r="B33" i="9" s="1"/>
  <c r="B33" i="10" s="1"/>
  <c r="C33" i="8"/>
  <c r="D33" i="8"/>
  <c r="E33" i="8"/>
  <c r="E33" i="9" s="1"/>
  <c r="E33" i="10" s="1"/>
  <c r="E33" i="11" s="1"/>
  <c r="F33" i="8"/>
  <c r="F33" i="9" s="1"/>
  <c r="F33" i="10" s="1"/>
  <c r="F33" i="11" s="1"/>
  <c r="G33" i="8"/>
  <c r="G33" i="9" s="1"/>
  <c r="G33" i="10" s="1"/>
  <c r="G33" i="11" s="1"/>
  <c r="H33" i="8"/>
  <c r="I33" i="8"/>
  <c r="J33" i="8"/>
  <c r="J33" i="9" s="1"/>
  <c r="J33" i="10" s="1"/>
  <c r="J33" i="11" s="1"/>
  <c r="K33" i="8"/>
  <c r="L33" i="8"/>
  <c r="L33" i="9" s="1"/>
  <c r="M33" i="8"/>
  <c r="C34" i="8"/>
  <c r="D34" i="8"/>
  <c r="D34" i="9" s="1"/>
  <c r="D34" i="10" s="1"/>
  <c r="D34" i="11" s="1"/>
  <c r="E34" i="8"/>
  <c r="E34" i="9" s="1"/>
  <c r="E34" i="10" s="1"/>
  <c r="E34" i="11" s="1"/>
  <c r="F34" i="8"/>
  <c r="F34" i="9" s="1"/>
  <c r="F34" i="10" s="1"/>
  <c r="F34" i="11" s="1"/>
  <c r="G34" i="8"/>
  <c r="H34" i="8"/>
  <c r="I34" i="8"/>
  <c r="I34" i="9" s="1"/>
  <c r="I34" i="10" s="1"/>
  <c r="I34" i="11" s="1"/>
  <c r="J34" i="8"/>
  <c r="K34" i="8"/>
  <c r="K34" i="9" s="1"/>
  <c r="K34" i="10" s="1"/>
  <c r="K34" i="11" s="1"/>
  <c r="L34" i="8"/>
  <c r="M34" i="8"/>
  <c r="C22" i="8"/>
  <c r="C22" i="9" s="1"/>
  <c r="C22" i="10" s="1"/>
  <c r="C22" i="11" s="1"/>
  <c r="D22" i="8"/>
  <c r="D22" i="9" s="1"/>
  <c r="E22" i="8"/>
  <c r="E22" i="9" s="1"/>
  <c r="E22" i="10" s="1"/>
  <c r="E22" i="11" s="1"/>
  <c r="F22" i="8"/>
  <c r="G22" i="8"/>
  <c r="H22" i="8"/>
  <c r="H22" i="9" s="1"/>
  <c r="H22" i="10" s="1"/>
  <c r="I22" i="8"/>
  <c r="J22" i="8"/>
  <c r="J22" i="9" s="1"/>
  <c r="J22" i="10" s="1"/>
  <c r="J22" i="11" s="1"/>
  <c r="K22" i="8"/>
  <c r="L22" i="8"/>
  <c r="M22" i="8"/>
  <c r="M22" i="9" s="1"/>
  <c r="M22" i="10" s="1"/>
  <c r="M22" i="11" s="1"/>
  <c r="B22" i="8"/>
  <c r="B22" i="9" s="1"/>
  <c r="B22" i="10" s="1"/>
  <c r="B22" i="11" s="1"/>
  <c r="M44" i="8"/>
  <c r="L44" i="8"/>
  <c r="K44" i="8"/>
  <c r="J44" i="8"/>
  <c r="I44" i="8"/>
  <c r="H44" i="8"/>
  <c r="G44" i="8"/>
  <c r="F44" i="8"/>
  <c r="E44" i="8"/>
  <c r="D44" i="8"/>
  <c r="C44" i="8"/>
  <c r="B44" i="8"/>
  <c r="N43" i="8"/>
  <c r="N42" i="8"/>
  <c r="N41" i="8"/>
  <c r="N40" i="8"/>
  <c r="N16" i="8"/>
  <c r="B3" i="8"/>
  <c r="C3" i="3"/>
  <c r="N22" i="9" l="1"/>
  <c r="D22" i="10"/>
  <c r="D22" i="11" s="1"/>
  <c r="N28" i="9"/>
  <c r="K28" i="10"/>
  <c r="K28" i="11" s="1"/>
  <c r="N33" i="9"/>
  <c r="L33" i="10"/>
  <c r="L33" i="11" s="1"/>
  <c r="B33" i="11"/>
  <c r="N33" i="11" s="1"/>
  <c r="H22" i="11"/>
  <c r="N25" i="9"/>
  <c r="H25" i="10"/>
  <c r="H25" i="11" s="1"/>
  <c r="N25" i="11" s="1"/>
  <c r="N28" i="10"/>
  <c r="I28" i="11"/>
  <c r="N28" i="11" s="1"/>
  <c r="N25" i="10"/>
  <c r="L25" i="11"/>
  <c r="N32" i="11"/>
  <c r="N32" i="10"/>
  <c r="G32" i="11"/>
  <c r="N44" i="10"/>
  <c r="N44" i="9"/>
  <c r="N44" i="11"/>
  <c r="N33" i="8"/>
  <c r="N32" i="9"/>
  <c r="N22" i="8"/>
  <c r="N32" i="8"/>
  <c r="N28" i="8"/>
  <c r="J6" i="11"/>
  <c r="J6" i="10"/>
  <c r="I6" i="11"/>
  <c r="I6" i="10"/>
  <c r="L6" i="11"/>
  <c r="L6" i="10"/>
  <c r="E6" i="10"/>
  <c r="E6" i="11"/>
  <c r="H6" i="11"/>
  <c r="H6" i="10"/>
  <c r="F6" i="10"/>
  <c r="F6" i="11"/>
  <c r="D6" i="10"/>
  <c r="D6" i="11"/>
  <c r="G6" i="11"/>
  <c r="G6" i="10"/>
  <c r="C6" i="10"/>
  <c r="C6" i="11"/>
  <c r="M6" i="10"/>
  <c r="M6" i="11"/>
  <c r="K6" i="10"/>
  <c r="C4" i="3"/>
  <c r="C7" i="3" s="1"/>
  <c r="C49" i="3" s="1"/>
  <c r="C51" i="3" s="1"/>
  <c r="C53" i="3" s="1"/>
  <c r="D4" i="3"/>
  <c r="E5" i="3"/>
  <c r="F5" i="3" s="1"/>
  <c r="G5" i="3" s="1"/>
  <c r="H5" i="3" s="1"/>
  <c r="I5" i="3" s="1"/>
  <c r="J5" i="3" s="1"/>
  <c r="K5" i="3" s="1"/>
  <c r="L5" i="3" s="1"/>
  <c r="M5" i="3" s="1"/>
  <c r="N5" i="3" s="1"/>
  <c r="B5" i="8" s="1"/>
  <c r="C5" i="8" s="1"/>
  <c r="D5" i="8" s="1"/>
  <c r="E5" i="8" s="1"/>
  <c r="F5" i="8" s="1"/>
  <c r="G5" i="8" s="1"/>
  <c r="H5" i="8" s="1"/>
  <c r="I5" i="8" s="1"/>
  <c r="J5" i="8" s="1"/>
  <c r="K5" i="8" s="1"/>
  <c r="L5" i="8" s="1"/>
  <c r="M5" i="8" s="1"/>
  <c r="B5" i="9" s="1"/>
  <c r="C5" i="9" s="1"/>
  <c r="D5" i="9" s="1"/>
  <c r="E5" i="9" s="1"/>
  <c r="F5" i="9" s="1"/>
  <c r="G5" i="9" s="1"/>
  <c r="H5" i="9" s="1"/>
  <c r="I5" i="9" s="1"/>
  <c r="J5" i="9" s="1"/>
  <c r="K5" i="9" s="1"/>
  <c r="L5" i="9" s="1"/>
  <c r="M5" i="9" s="1"/>
  <c r="B5" i="10" s="1"/>
  <c r="C5" i="10" s="1"/>
  <c r="D5" i="10" s="1"/>
  <c r="E5" i="10" s="1"/>
  <c r="F5" i="10" s="1"/>
  <c r="G5" i="10" s="1"/>
  <c r="H5" i="10" s="1"/>
  <c r="I5" i="10" s="1"/>
  <c r="J5" i="10" s="1"/>
  <c r="K5" i="10" s="1"/>
  <c r="L5" i="10" s="1"/>
  <c r="M5" i="10" s="1"/>
  <c r="B5" i="11" s="1"/>
  <c r="C5" i="11" s="1"/>
  <c r="D5" i="11" s="1"/>
  <c r="E5" i="11" s="1"/>
  <c r="F5" i="11" s="1"/>
  <c r="G5" i="11" s="1"/>
  <c r="H5" i="11" s="1"/>
  <c r="I5" i="11" s="1"/>
  <c r="J5" i="11" s="1"/>
  <c r="K5" i="11" s="1"/>
  <c r="L5" i="11" s="1"/>
  <c r="M5" i="11" s="1"/>
  <c r="N22" i="11"/>
  <c r="C3" i="11"/>
  <c r="D3" i="10"/>
  <c r="D3" i="9"/>
  <c r="N44" i="8"/>
  <c r="C3" i="8"/>
  <c r="D3" i="3"/>
  <c r="N33" i="10" l="1"/>
  <c r="N22" i="10"/>
  <c r="D3" i="11"/>
  <c r="E3" i="10"/>
  <c r="E3" i="9"/>
  <c r="E4" i="3"/>
  <c r="D3" i="8"/>
  <c r="D12" i="3"/>
  <c r="C10" i="3"/>
  <c r="D13" i="3"/>
  <c r="D19" i="3"/>
  <c r="C18" i="3"/>
  <c r="C11" i="3"/>
  <c r="D7" i="3"/>
  <c r="D49" i="3" s="1"/>
  <c r="E3" i="3"/>
  <c r="C34" i="3"/>
  <c r="B34" i="8" s="1"/>
  <c r="C29" i="3"/>
  <c r="B29" i="8" s="1"/>
  <c r="G24" i="3"/>
  <c r="H24" i="3"/>
  <c r="I24" i="3"/>
  <c r="G23" i="3"/>
  <c r="H23" i="3"/>
  <c r="I23" i="3"/>
  <c r="M24" i="3" l="1"/>
  <c r="L24" i="8" s="1"/>
  <c r="L24" i="9" s="1"/>
  <c r="L24" i="10" s="1"/>
  <c r="L24" i="11" s="1"/>
  <c r="H24" i="8"/>
  <c r="H24" i="9" s="1"/>
  <c r="H24" i="10" s="1"/>
  <c r="H24" i="11" s="1"/>
  <c r="L24" i="3"/>
  <c r="K24" i="8" s="1"/>
  <c r="K24" i="9" s="1"/>
  <c r="K24" i="10" s="1"/>
  <c r="K24" i="11" s="1"/>
  <c r="G24" i="8"/>
  <c r="G24" i="9" s="1"/>
  <c r="G24" i="10" s="1"/>
  <c r="G24" i="11" s="1"/>
  <c r="K24" i="3"/>
  <c r="J24" i="8" s="1"/>
  <c r="J24" i="9" s="1"/>
  <c r="J24" i="10" s="1"/>
  <c r="J24" i="11" s="1"/>
  <c r="F24" i="8"/>
  <c r="F24" i="9" s="1"/>
  <c r="F24" i="10" s="1"/>
  <c r="F24" i="11" s="1"/>
  <c r="M23" i="3"/>
  <c r="L23" i="8" s="1"/>
  <c r="L23" i="9" s="1"/>
  <c r="L23" i="10" s="1"/>
  <c r="L23" i="11" s="1"/>
  <c r="H23" i="8"/>
  <c r="H23" i="9" s="1"/>
  <c r="H23" i="10" s="1"/>
  <c r="H23" i="11" s="1"/>
  <c r="L23" i="3"/>
  <c r="K23" i="8" s="1"/>
  <c r="K23" i="9" s="1"/>
  <c r="K23" i="10" s="1"/>
  <c r="K23" i="11" s="1"/>
  <c r="G23" i="8"/>
  <c r="G23" i="9" s="1"/>
  <c r="G23" i="10" s="1"/>
  <c r="G23" i="11" s="1"/>
  <c r="K23" i="3"/>
  <c r="J23" i="8" s="1"/>
  <c r="J23" i="9" s="1"/>
  <c r="J23" i="10" s="1"/>
  <c r="J23" i="11" s="1"/>
  <c r="F23" i="8"/>
  <c r="F23" i="9" s="1"/>
  <c r="F23" i="10" s="1"/>
  <c r="F23" i="11" s="1"/>
  <c r="D51" i="3"/>
  <c r="D53" i="3" s="1"/>
  <c r="B29" i="9"/>
  <c r="N29" i="8"/>
  <c r="N34" i="8"/>
  <c r="B34" i="9"/>
  <c r="E3" i="11"/>
  <c r="F3" i="10"/>
  <c r="F3" i="9"/>
  <c r="F4" i="3"/>
  <c r="E3" i="8"/>
  <c r="E19" i="3"/>
  <c r="D11" i="3"/>
  <c r="E12" i="3"/>
  <c r="E13" i="3"/>
  <c r="D18" i="3"/>
  <c r="D10" i="3"/>
  <c r="E7" i="3"/>
  <c r="E49" i="3" s="1"/>
  <c r="F3" i="3"/>
  <c r="O29" i="3"/>
  <c r="O34" i="3"/>
  <c r="C44" i="3"/>
  <c r="D44" i="3"/>
  <c r="E44" i="3"/>
  <c r="F44" i="3"/>
  <c r="G44" i="3"/>
  <c r="H44" i="3"/>
  <c r="I44" i="3"/>
  <c r="J44" i="3"/>
  <c r="K44" i="3"/>
  <c r="L44" i="3"/>
  <c r="M44" i="3"/>
  <c r="N44" i="3"/>
  <c r="B43" i="3"/>
  <c r="O43" i="3" s="1"/>
  <c r="B42" i="3"/>
  <c r="O42" i="3" s="1"/>
  <c r="B40" i="3"/>
  <c r="B41" i="3"/>
  <c r="O41" i="3" s="1"/>
  <c r="B37" i="3"/>
  <c r="B36" i="3"/>
  <c r="B35" i="3"/>
  <c r="B33" i="3"/>
  <c r="O33" i="3" s="1"/>
  <c r="B32" i="3"/>
  <c r="O32" i="3" s="1"/>
  <c r="B31" i="3"/>
  <c r="B30" i="3"/>
  <c r="C30" i="3" s="1"/>
  <c r="B28" i="3"/>
  <c r="O28" i="3" s="1"/>
  <c r="B27" i="3"/>
  <c r="C27" i="3" s="1"/>
  <c r="B26" i="3"/>
  <c r="C26" i="3" s="1"/>
  <c r="B26" i="8" s="1"/>
  <c r="B25" i="3"/>
  <c r="O25" i="3" s="1"/>
  <c r="B24" i="3"/>
  <c r="F24" i="3" s="1"/>
  <c r="B23" i="3"/>
  <c r="F23" i="3" s="1"/>
  <c r="E23" i="8" s="1"/>
  <c r="B22" i="3"/>
  <c r="O22" i="3" s="1"/>
  <c r="B20" i="3"/>
  <c r="B14" i="3"/>
  <c r="E51" i="3" l="1"/>
  <c r="E53" i="3" s="1"/>
  <c r="D27" i="3"/>
  <c r="C27" i="8" s="1"/>
  <c r="B27" i="8"/>
  <c r="B27" i="9" s="1"/>
  <c r="D30" i="3"/>
  <c r="B30" i="8"/>
  <c r="E23" i="9"/>
  <c r="D37" i="3"/>
  <c r="B37" i="8"/>
  <c r="B26" i="9"/>
  <c r="N26" i="8"/>
  <c r="B34" i="10"/>
  <c r="N34" i="9"/>
  <c r="J24" i="3"/>
  <c r="E24" i="8"/>
  <c r="B29" i="10"/>
  <c r="N29" i="9"/>
  <c r="F3" i="11"/>
  <c r="G3" i="10"/>
  <c r="G3" i="9"/>
  <c r="G4" i="3"/>
  <c r="F3" i="8"/>
  <c r="E18" i="3"/>
  <c r="F13" i="3"/>
  <c r="F12" i="3"/>
  <c r="F19" i="3"/>
  <c r="E11" i="3"/>
  <c r="E10" i="3"/>
  <c r="B44" i="3"/>
  <c r="F7" i="3"/>
  <c r="F49" i="3" s="1"/>
  <c r="G3" i="3"/>
  <c r="O26" i="3"/>
  <c r="C35" i="3"/>
  <c r="O40" i="3"/>
  <c r="O44" i="3" s="1"/>
  <c r="B17" i="4" s="1"/>
  <c r="C17" i="4" s="1"/>
  <c r="D17" i="4" s="1"/>
  <c r="E17" i="4" s="1"/>
  <c r="F17" i="4" s="1"/>
  <c r="C36" i="3"/>
  <c r="J23" i="3"/>
  <c r="I23" i="8" s="1"/>
  <c r="I23" i="9" s="1"/>
  <c r="C31" i="3"/>
  <c r="B31" i="8" s="1"/>
  <c r="B31" i="9" s="1"/>
  <c r="B31" i="10" s="1"/>
  <c r="B31" i="11" s="1"/>
  <c r="B38" i="3"/>
  <c r="B23" i="5"/>
  <c r="E27" i="3" l="1"/>
  <c r="D27" i="8" s="1"/>
  <c r="D27" i="9" s="1"/>
  <c r="F51" i="3"/>
  <c r="F53" i="3" s="1"/>
  <c r="E37" i="3"/>
  <c r="C37" i="8"/>
  <c r="C37" i="9" s="1"/>
  <c r="C37" i="10" s="1"/>
  <c r="C37" i="11" s="1"/>
  <c r="E23" i="10"/>
  <c r="B30" i="9"/>
  <c r="B30" i="10" s="1"/>
  <c r="B30" i="11" s="1"/>
  <c r="E30" i="3"/>
  <c r="C30" i="8"/>
  <c r="C30" i="9" s="1"/>
  <c r="C30" i="10" s="1"/>
  <c r="C30" i="11" s="1"/>
  <c r="B37" i="9"/>
  <c r="B37" i="10" s="1"/>
  <c r="B37" i="11" s="1"/>
  <c r="I23" i="10"/>
  <c r="B29" i="11"/>
  <c r="N29" i="11" s="1"/>
  <c r="N29" i="10"/>
  <c r="D36" i="3"/>
  <c r="B36" i="8"/>
  <c r="E24" i="9"/>
  <c r="N24" i="3"/>
  <c r="I24" i="8"/>
  <c r="I24" i="9" s="1"/>
  <c r="I24" i="10" s="1"/>
  <c r="I24" i="11" s="1"/>
  <c r="B27" i="10"/>
  <c r="B27" i="11" s="1"/>
  <c r="C27" i="9"/>
  <c r="B26" i="10"/>
  <c r="N26" i="9"/>
  <c r="D35" i="3"/>
  <c r="B35" i="8"/>
  <c r="B34" i="11"/>
  <c r="N34" i="11" s="1"/>
  <c r="N34" i="10"/>
  <c r="G3" i="11"/>
  <c r="H3" i="10"/>
  <c r="H3" i="9"/>
  <c r="H4" i="3"/>
  <c r="G3" i="8"/>
  <c r="G12" i="3"/>
  <c r="F18" i="3"/>
  <c r="G13" i="3"/>
  <c r="G19" i="3"/>
  <c r="F10" i="3"/>
  <c r="F11" i="3"/>
  <c r="G7" i="3"/>
  <c r="G49" i="3" s="1"/>
  <c r="G51" i="3" s="1"/>
  <c r="G53" i="3" s="1"/>
  <c r="H3" i="3"/>
  <c r="N23" i="3"/>
  <c r="M23" i="8" s="1"/>
  <c r="O23" i="3"/>
  <c r="D31" i="3"/>
  <c r="C31" i="8" s="1"/>
  <c r="C31" i="9" s="1"/>
  <c r="C31" i="10" s="1"/>
  <c r="C31" i="11" s="1"/>
  <c r="C38" i="3"/>
  <c r="C55" i="3" s="1"/>
  <c r="C57" i="3" s="1"/>
  <c r="C59" i="3" s="1"/>
  <c r="C23" i="5"/>
  <c r="B27" i="5" s="1"/>
  <c r="B29" i="5" s="1"/>
  <c r="F27" i="3" l="1"/>
  <c r="E27" i="8" s="1"/>
  <c r="E27" i="9" s="1"/>
  <c r="E27" i="10" s="1"/>
  <c r="E27" i="11" s="1"/>
  <c r="B16" i="3"/>
  <c r="O16" i="3" s="1"/>
  <c r="B28" i="4" s="1"/>
  <c r="B21" i="6"/>
  <c r="E20" i="2" s="1"/>
  <c r="E35" i="3"/>
  <c r="C35" i="8"/>
  <c r="C35" i="9" s="1"/>
  <c r="C35" i="10" s="1"/>
  <c r="C35" i="11" s="1"/>
  <c r="M24" i="8"/>
  <c r="O24" i="3"/>
  <c r="B35" i="9"/>
  <c r="B38" i="8"/>
  <c r="B55" i="8" s="1"/>
  <c r="E24" i="10"/>
  <c r="E24" i="11" s="1"/>
  <c r="E36" i="3"/>
  <c r="C36" i="8"/>
  <c r="C36" i="9" s="1"/>
  <c r="C36" i="10" s="1"/>
  <c r="C36" i="11" s="1"/>
  <c r="F37" i="3"/>
  <c r="D37" i="8"/>
  <c r="D37" i="9" s="1"/>
  <c r="D37" i="10" s="1"/>
  <c r="D37" i="11" s="1"/>
  <c r="B6" i="12"/>
  <c r="E23" i="11"/>
  <c r="F30" i="3"/>
  <c r="D30" i="8"/>
  <c r="B36" i="9"/>
  <c r="B36" i="10" s="1"/>
  <c r="B36" i="11" s="1"/>
  <c r="B26" i="11"/>
  <c r="N26" i="10"/>
  <c r="M23" i="9"/>
  <c r="N23" i="8"/>
  <c r="C27" i="10"/>
  <c r="I23" i="11"/>
  <c r="D27" i="10"/>
  <c r="H3" i="11"/>
  <c r="I3" i="10"/>
  <c r="I3" i="9"/>
  <c r="I4" i="3"/>
  <c r="H3" i="8"/>
  <c r="G11" i="3"/>
  <c r="G10" i="3"/>
  <c r="H12" i="3"/>
  <c r="G18" i="3"/>
  <c r="H13" i="3"/>
  <c r="H19" i="3"/>
  <c r="H7" i="3"/>
  <c r="H49" i="3" s="1"/>
  <c r="H51" i="3" s="1"/>
  <c r="H53" i="3" s="1"/>
  <c r="I3" i="3"/>
  <c r="G27" i="3"/>
  <c r="F27" i="8" s="1"/>
  <c r="E31" i="3"/>
  <c r="D31" i="8" s="1"/>
  <c r="D31" i="9" s="1"/>
  <c r="D31" i="10" s="1"/>
  <c r="D31" i="11" s="1"/>
  <c r="D38" i="3"/>
  <c r="D55" i="3" s="1"/>
  <c r="D57" i="3" s="1"/>
  <c r="D59" i="3" s="1"/>
  <c r="B46" i="3"/>
  <c r="C38" i="9" l="1"/>
  <c r="C55" i="9" s="1"/>
  <c r="C28" i="4"/>
  <c r="D28" i="4" s="1"/>
  <c r="E28" i="4" s="1"/>
  <c r="F28" i="4" s="1"/>
  <c r="B32" i="4"/>
  <c r="B35" i="4" s="1"/>
  <c r="C38" i="8"/>
  <c r="C55" i="8" s="1"/>
  <c r="B38" i="9"/>
  <c r="B55" i="9" s="1"/>
  <c r="C6" i="12"/>
  <c r="F36" i="3"/>
  <c r="D36" i="8"/>
  <c r="G30" i="3"/>
  <c r="E30" i="8"/>
  <c r="F27" i="9"/>
  <c r="B35" i="10"/>
  <c r="M24" i="9"/>
  <c r="N24" i="8"/>
  <c r="M23" i="10"/>
  <c r="N23" i="9"/>
  <c r="D27" i="11"/>
  <c r="N26" i="11"/>
  <c r="G37" i="3"/>
  <c r="E37" i="8"/>
  <c r="C38" i="10"/>
  <c r="C55" i="10" s="1"/>
  <c r="C27" i="11"/>
  <c r="D30" i="9"/>
  <c r="F35" i="3"/>
  <c r="D35" i="8"/>
  <c r="D38" i="8" s="1"/>
  <c r="D55" i="8" s="1"/>
  <c r="I3" i="11"/>
  <c r="J3" i="10"/>
  <c r="C9" i="3"/>
  <c r="J3" i="9"/>
  <c r="J4" i="3"/>
  <c r="I3" i="8"/>
  <c r="H11" i="3"/>
  <c r="H10" i="3"/>
  <c r="I12" i="3"/>
  <c r="H18" i="3"/>
  <c r="I13" i="3"/>
  <c r="I19" i="3"/>
  <c r="I7" i="3"/>
  <c r="I49" i="3" s="1"/>
  <c r="J3" i="3"/>
  <c r="H27" i="3"/>
  <c r="G27" i="8" s="1"/>
  <c r="F31" i="3"/>
  <c r="E31" i="8" s="1"/>
  <c r="E31" i="9" s="1"/>
  <c r="E31" i="10" s="1"/>
  <c r="E31" i="11" s="1"/>
  <c r="E38" i="3"/>
  <c r="E55" i="3" s="1"/>
  <c r="E57" i="3" s="1"/>
  <c r="E59" i="3" s="1"/>
  <c r="C7" i="12" l="1"/>
  <c r="C32" i="4"/>
  <c r="I51" i="3"/>
  <c r="I53" i="3" s="1"/>
  <c r="D6" i="12"/>
  <c r="F27" i="10"/>
  <c r="F27" i="11" s="1"/>
  <c r="D30" i="10"/>
  <c r="C38" i="11"/>
  <c r="C55" i="11" s="1"/>
  <c r="E30" i="9"/>
  <c r="H30" i="3"/>
  <c r="F30" i="8"/>
  <c r="E37" i="9"/>
  <c r="E37" i="10" s="1"/>
  <c r="E37" i="11" s="1"/>
  <c r="G35" i="3"/>
  <c r="E35" i="8"/>
  <c r="E35" i="9" s="1"/>
  <c r="E35" i="10" s="1"/>
  <c r="E35" i="11" s="1"/>
  <c r="G27" i="9"/>
  <c r="M23" i="11"/>
  <c r="N23" i="10"/>
  <c r="D36" i="9"/>
  <c r="D36" i="10" s="1"/>
  <c r="D36" i="11" s="1"/>
  <c r="M24" i="10"/>
  <c r="N24" i="9"/>
  <c r="G36" i="3"/>
  <c r="E36" i="8"/>
  <c r="E36" i="9" s="1"/>
  <c r="E36" i="10" s="1"/>
  <c r="E36" i="11" s="1"/>
  <c r="H37" i="3"/>
  <c r="F37" i="8"/>
  <c r="F37" i="9" s="1"/>
  <c r="D35" i="9"/>
  <c r="B35" i="11"/>
  <c r="B38" i="11" s="1"/>
  <c r="B55" i="11" s="1"/>
  <c r="B38" i="10"/>
  <c r="B55" i="10" s="1"/>
  <c r="J3" i="11"/>
  <c r="K3" i="10"/>
  <c r="K3" i="9"/>
  <c r="K4" i="3"/>
  <c r="J3" i="8"/>
  <c r="I11" i="3"/>
  <c r="I10" i="3"/>
  <c r="J12" i="3"/>
  <c r="I18" i="3"/>
  <c r="I20" i="3" s="1"/>
  <c r="J13" i="3"/>
  <c r="J19" i="3"/>
  <c r="K3" i="3"/>
  <c r="J7" i="3"/>
  <c r="J49" i="3" s="1"/>
  <c r="G31" i="3"/>
  <c r="F31" i="8" s="1"/>
  <c r="F31" i="9" s="1"/>
  <c r="F31" i="10" s="1"/>
  <c r="F31" i="11" s="1"/>
  <c r="F38" i="3"/>
  <c r="F55" i="3" s="1"/>
  <c r="F57" i="3" s="1"/>
  <c r="F59" i="3" s="1"/>
  <c r="I27" i="3"/>
  <c r="H27" i="8" s="1"/>
  <c r="H20" i="3"/>
  <c r="C14" i="3"/>
  <c r="D14" i="3"/>
  <c r="D20" i="3"/>
  <c r="C20" i="3"/>
  <c r="F20" i="3"/>
  <c r="D7" i="12" l="1"/>
  <c r="D32" i="4"/>
  <c r="C35" i="4"/>
  <c r="D38" i="9"/>
  <c r="D55" i="9" s="1"/>
  <c r="J51" i="3"/>
  <c r="J53" i="3" s="1"/>
  <c r="E6" i="12"/>
  <c r="D35" i="10"/>
  <c r="D38" i="10" s="1"/>
  <c r="D55" i="10" s="1"/>
  <c r="E30" i="10"/>
  <c r="E38" i="9"/>
  <c r="E55" i="9" s="1"/>
  <c r="I37" i="3"/>
  <c r="G37" i="8"/>
  <c r="G37" i="9" s="1"/>
  <c r="G37" i="10" s="1"/>
  <c r="G37" i="11" s="1"/>
  <c r="D30" i="11"/>
  <c r="F37" i="10"/>
  <c r="F37" i="11" s="1"/>
  <c r="H27" i="9"/>
  <c r="H35" i="3"/>
  <c r="F35" i="8"/>
  <c r="N24" i="10"/>
  <c r="M24" i="11"/>
  <c r="N24" i="11" s="1"/>
  <c r="G27" i="10"/>
  <c r="I30" i="3"/>
  <c r="G30" i="8"/>
  <c r="H36" i="3"/>
  <c r="F36" i="8"/>
  <c r="F36" i="9" s="1"/>
  <c r="F36" i="10" s="1"/>
  <c r="F36" i="11" s="1"/>
  <c r="F30" i="9"/>
  <c r="N23" i="11"/>
  <c r="E38" i="8"/>
  <c r="E55" i="8" s="1"/>
  <c r="K3" i="11"/>
  <c r="L3" i="10"/>
  <c r="L3" i="9"/>
  <c r="L4" i="3"/>
  <c r="K3" i="8"/>
  <c r="J11" i="3"/>
  <c r="J10" i="3"/>
  <c r="K12" i="3"/>
  <c r="K19" i="3"/>
  <c r="J18" i="3"/>
  <c r="J20" i="3" s="1"/>
  <c r="K13" i="3"/>
  <c r="K7" i="3"/>
  <c r="K49" i="3" s="1"/>
  <c r="L3" i="3"/>
  <c r="J27" i="3"/>
  <c r="I27" i="8" s="1"/>
  <c r="H31" i="3"/>
  <c r="G31" i="8" s="1"/>
  <c r="G31" i="9" s="1"/>
  <c r="G31" i="10" s="1"/>
  <c r="G38" i="3"/>
  <c r="G55" i="3" s="1"/>
  <c r="G57" i="3" s="1"/>
  <c r="G59" i="3" s="1"/>
  <c r="H14" i="3"/>
  <c r="G14" i="3"/>
  <c r="G20" i="3"/>
  <c r="E20" i="3"/>
  <c r="E14" i="3"/>
  <c r="I14" i="3"/>
  <c r="F14" i="3"/>
  <c r="C46" i="3"/>
  <c r="B3" i="12" s="1"/>
  <c r="B4" i="12" s="1"/>
  <c r="F38" i="8" l="1"/>
  <c r="F55" i="8" s="1"/>
  <c r="E7" i="12"/>
  <c r="E32" i="4"/>
  <c r="D35" i="4"/>
  <c r="K51" i="3"/>
  <c r="K53" i="3" s="1"/>
  <c r="F6" i="12"/>
  <c r="F7" i="12" s="1"/>
  <c r="G27" i="11"/>
  <c r="J37" i="3"/>
  <c r="H37" i="8"/>
  <c r="H37" i="9" s="1"/>
  <c r="H37" i="10" s="1"/>
  <c r="H37" i="11" s="1"/>
  <c r="D38" i="11"/>
  <c r="D55" i="11" s="1"/>
  <c r="F35" i="9"/>
  <c r="F38" i="9" s="1"/>
  <c r="F55" i="9" s="1"/>
  <c r="H27" i="10"/>
  <c r="D35" i="11"/>
  <c r="I36" i="3"/>
  <c r="G36" i="8"/>
  <c r="E30" i="11"/>
  <c r="E38" i="11" s="1"/>
  <c r="E55" i="11" s="1"/>
  <c r="E38" i="10"/>
  <c r="E55" i="10" s="1"/>
  <c r="G31" i="11"/>
  <c r="I27" i="9"/>
  <c r="F30" i="10"/>
  <c r="F30" i="11" s="1"/>
  <c r="I35" i="3"/>
  <c r="G35" i="8"/>
  <c r="G35" i="9" s="1"/>
  <c r="G35" i="10" s="1"/>
  <c r="G35" i="11" s="1"/>
  <c r="G30" i="9"/>
  <c r="J30" i="3"/>
  <c r="H30" i="8"/>
  <c r="L3" i="11"/>
  <c r="M3" i="10"/>
  <c r="D9" i="3"/>
  <c r="D46" i="3" s="1"/>
  <c r="M3" i="9"/>
  <c r="M4" i="3"/>
  <c r="L3" i="8"/>
  <c r="J14" i="3"/>
  <c r="K18" i="3"/>
  <c r="L19" i="3"/>
  <c r="K11" i="3"/>
  <c r="K10" i="3"/>
  <c r="L12" i="3"/>
  <c r="L13" i="3"/>
  <c r="M3" i="3"/>
  <c r="L7" i="3"/>
  <c r="L49" i="3" s="1"/>
  <c r="I31" i="3"/>
  <c r="H31" i="8" s="1"/>
  <c r="H31" i="9" s="1"/>
  <c r="H31" i="10" s="1"/>
  <c r="H31" i="11" s="1"/>
  <c r="H38" i="3"/>
  <c r="H55" i="3" s="1"/>
  <c r="H57" i="3" s="1"/>
  <c r="H59" i="3" s="1"/>
  <c r="K27" i="3"/>
  <c r="J27" i="8" s="1"/>
  <c r="G38" i="8" l="1"/>
  <c r="G55" i="8" s="1"/>
  <c r="F32" i="4"/>
  <c r="F35" i="4" s="1"/>
  <c r="E35" i="4"/>
  <c r="L51" i="3"/>
  <c r="L53" i="3" s="1"/>
  <c r="G6" i="12"/>
  <c r="I27" i="10"/>
  <c r="J27" i="9"/>
  <c r="J35" i="3"/>
  <c r="H35" i="8"/>
  <c r="H30" i="9"/>
  <c r="K37" i="3"/>
  <c r="I37" i="8"/>
  <c r="I37" i="9" s="1"/>
  <c r="I37" i="10" s="1"/>
  <c r="I37" i="11" s="1"/>
  <c r="J36" i="3"/>
  <c r="H36" i="8"/>
  <c r="H36" i="9" s="1"/>
  <c r="H36" i="10" s="1"/>
  <c r="H36" i="11" s="1"/>
  <c r="G30" i="10"/>
  <c r="G36" i="9"/>
  <c r="G36" i="10" s="1"/>
  <c r="G36" i="11" s="1"/>
  <c r="E9" i="3"/>
  <c r="E46" i="3" s="1"/>
  <c r="D3" i="12" s="1"/>
  <c r="D4" i="12" s="1"/>
  <c r="C3" i="12"/>
  <c r="C4" i="12" s="1"/>
  <c r="F35" i="10"/>
  <c r="K30" i="3"/>
  <c r="I30" i="8"/>
  <c r="H27" i="11"/>
  <c r="M3" i="11"/>
  <c r="N4" i="3"/>
  <c r="O4" i="3" s="1"/>
  <c r="B7" i="6" s="1"/>
  <c r="M3" i="8"/>
  <c r="K14" i="3"/>
  <c r="M12" i="3"/>
  <c r="M19" i="3"/>
  <c r="L18" i="3"/>
  <c r="L20" i="3" s="1"/>
  <c r="L11" i="3"/>
  <c r="L10" i="3"/>
  <c r="M13" i="3"/>
  <c r="K20" i="3"/>
  <c r="M7" i="3"/>
  <c r="M49" i="3" s="1"/>
  <c r="N3" i="3"/>
  <c r="L27" i="3"/>
  <c r="K27" i="8" s="1"/>
  <c r="J31" i="3"/>
  <c r="I31" i="8" s="1"/>
  <c r="I31" i="9" s="1"/>
  <c r="I31" i="10" s="1"/>
  <c r="I38" i="3"/>
  <c r="I55" i="3" s="1"/>
  <c r="I57" i="3" s="1"/>
  <c r="I59" i="3" s="1"/>
  <c r="E7" i="2" l="1"/>
  <c r="B8" i="6"/>
  <c r="D5" i="12"/>
  <c r="C5" i="12"/>
  <c r="G7" i="12"/>
  <c r="H38" i="8"/>
  <c r="H55" i="8" s="1"/>
  <c r="M51" i="3"/>
  <c r="M53" i="3" s="1"/>
  <c r="H6" i="12"/>
  <c r="H35" i="9"/>
  <c r="K36" i="3"/>
  <c r="I36" i="8"/>
  <c r="K35" i="3"/>
  <c r="I35" i="8"/>
  <c r="I35" i="9" s="1"/>
  <c r="I35" i="10" s="1"/>
  <c r="I35" i="11" s="1"/>
  <c r="F9" i="3"/>
  <c r="F46" i="3" s="1"/>
  <c r="E3" i="12" s="1"/>
  <c r="E4" i="12" s="1"/>
  <c r="E5" i="12" s="1"/>
  <c r="J27" i="10"/>
  <c r="I31" i="11"/>
  <c r="K27" i="9"/>
  <c r="F38" i="10"/>
  <c r="F55" i="10" s="1"/>
  <c r="F35" i="11"/>
  <c r="F38" i="11" s="1"/>
  <c r="F55" i="11" s="1"/>
  <c r="L37" i="3"/>
  <c r="J37" i="8"/>
  <c r="J37" i="9" s="1"/>
  <c r="H30" i="10"/>
  <c r="G38" i="9"/>
  <c r="G55" i="9" s="1"/>
  <c r="G30" i="11"/>
  <c r="G38" i="11" s="1"/>
  <c r="G55" i="11" s="1"/>
  <c r="G38" i="10"/>
  <c r="G55" i="10" s="1"/>
  <c r="I30" i="9"/>
  <c r="L30" i="3"/>
  <c r="J30" i="8"/>
  <c r="I27" i="11"/>
  <c r="N7" i="3"/>
  <c r="N12" i="3"/>
  <c r="O12" i="3" s="1"/>
  <c r="N13" i="3"/>
  <c r="O13" i="3" s="1"/>
  <c r="N19" i="3"/>
  <c r="O19" i="3" s="1"/>
  <c r="B4" i="8"/>
  <c r="B7" i="8" s="1"/>
  <c r="B49" i="8" s="1"/>
  <c r="L14" i="3"/>
  <c r="M11" i="3"/>
  <c r="M10" i="3"/>
  <c r="M18" i="3"/>
  <c r="M20" i="3" s="1"/>
  <c r="K31" i="3"/>
  <c r="J31" i="8" s="1"/>
  <c r="J31" i="9" s="1"/>
  <c r="J31" i="10" s="1"/>
  <c r="J31" i="11" s="1"/>
  <c r="J38" i="3"/>
  <c r="J55" i="3" s="1"/>
  <c r="J57" i="3" s="1"/>
  <c r="J59" i="3" s="1"/>
  <c r="M27" i="3"/>
  <c r="L27" i="8" s="1"/>
  <c r="H7" i="12" l="1"/>
  <c r="G9" i="3"/>
  <c r="G46" i="3" s="1"/>
  <c r="F3" i="12" s="1"/>
  <c r="F4" i="12" s="1"/>
  <c r="B51" i="8"/>
  <c r="B53" i="8" s="1"/>
  <c r="B57" i="8" s="1"/>
  <c r="B13" i="8"/>
  <c r="N49" i="3"/>
  <c r="I6" i="12"/>
  <c r="I7" i="12" s="1"/>
  <c r="J37" i="10"/>
  <c r="J37" i="11" s="1"/>
  <c r="L36" i="3"/>
  <c r="J36" i="8"/>
  <c r="J36" i="9" s="1"/>
  <c r="J36" i="10" s="1"/>
  <c r="J36" i="11" s="1"/>
  <c r="H35" i="10"/>
  <c r="K27" i="10"/>
  <c r="M37" i="3"/>
  <c r="K37" i="8"/>
  <c r="K37" i="9" s="1"/>
  <c r="K37" i="10" s="1"/>
  <c r="L35" i="3"/>
  <c r="J35" i="8"/>
  <c r="J35" i="9" s="1"/>
  <c r="J35" i="10" s="1"/>
  <c r="J35" i="11" s="1"/>
  <c r="I36" i="9"/>
  <c r="I36" i="10" s="1"/>
  <c r="I36" i="11" s="1"/>
  <c r="H38" i="9"/>
  <c r="H55" i="9" s="1"/>
  <c r="J27" i="11"/>
  <c r="J30" i="9"/>
  <c r="M30" i="3"/>
  <c r="K30" i="8"/>
  <c r="I38" i="8"/>
  <c r="I55" i="8" s="1"/>
  <c r="I30" i="10"/>
  <c r="L27" i="9"/>
  <c r="H30" i="11"/>
  <c r="O7" i="3"/>
  <c r="B3" i="4" s="1"/>
  <c r="B12" i="8"/>
  <c r="Q7" i="3"/>
  <c r="B20" i="4" s="1"/>
  <c r="N18" i="3"/>
  <c r="N20" i="3" s="1"/>
  <c r="Q20" i="3"/>
  <c r="B22" i="4" s="1"/>
  <c r="B19" i="8"/>
  <c r="N10" i="3"/>
  <c r="O10" i="3" s="1"/>
  <c r="N11" i="3"/>
  <c r="O11" i="3" s="1"/>
  <c r="M14" i="3"/>
  <c r="C4" i="8"/>
  <c r="C7" i="8" s="1"/>
  <c r="C49" i="8" s="1"/>
  <c r="C12" i="8"/>
  <c r="B18" i="8"/>
  <c r="C19" i="8"/>
  <c r="C13" i="8"/>
  <c r="B11" i="8"/>
  <c r="B10" i="8"/>
  <c r="N27" i="3"/>
  <c r="M27" i="8" s="1"/>
  <c r="L31" i="3"/>
  <c r="K31" i="8" s="1"/>
  <c r="K38" i="3"/>
  <c r="K55" i="3" s="1"/>
  <c r="K57" i="3" s="1"/>
  <c r="K59" i="3" s="1"/>
  <c r="O27" i="3" l="1"/>
  <c r="I38" i="9"/>
  <c r="I55" i="9" s="1"/>
  <c r="O18" i="3"/>
  <c r="O20" i="3" s="1"/>
  <c r="F5" i="12"/>
  <c r="H9" i="3"/>
  <c r="H46" i="3" s="1"/>
  <c r="B5" i="4"/>
  <c r="B7" i="4" s="1"/>
  <c r="B10" i="6"/>
  <c r="E9" i="2" s="1"/>
  <c r="N51" i="3"/>
  <c r="N53" i="3" s="1"/>
  <c r="C51" i="8"/>
  <c r="C53" i="8" s="1"/>
  <c r="C57" i="8" s="1"/>
  <c r="J6" i="12"/>
  <c r="J7" i="12" s="1"/>
  <c r="K31" i="9"/>
  <c r="H35" i="11"/>
  <c r="K30" i="9"/>
  <c r="M35" i="3"/>
  <c r="K35" i="8"/>
  <c r="K35" i="9" s="1"/>
  <c r="K37" i="11"/>
  <c r="K27" i="11"/>
  <c r="I30" i="11"/>
  <c r="I38" i="11" s="1"/>
  <c r="I55" i="11" s="1"/>
  <c r="I38" i="10"/>
  <c r="I55" i="10" s="1"/>
  <c r="M36" i="3"/>
  <c r="K36" i="8"/>
  <c r="K36" i="9" s="1"/>
  <c r="N30" i="3"/>
  <c r="L30" i="8"/>
  <c r="J38" i="8"/>
  <c r="J55" i="8" s="1"/>
  <c r="H38" i="10"/>
  <c r="H55" i="10" s="1"/>
  <c r="J30" i="10"/>
  <c r="J38" i="9"/>
  <c r="J55" i="9" s="1"/>
  <c r="N37" i="3"/>
  <c r="L37" i="8"/>
  <c r="L37" i="9" s="1"/>
  <c r="L27" i="10"/>
  <c r="M27" i="9"/>
  <c r="N27" i="8"/>
  <c r="H38" i="11"/>
  <c r="H55" i="11" s="1"/>
  <c r="N14" i="3"/>
  <c r="B20" i="8"/>
  <c r="O14" i="3"/>
  <c r="B14" i="8"/>
  <c r="D4" i="8"/>
  <c r="D7" i="8" s="1"/>
  <c r="D49" i="8" s="1"/>
  <c r="D51" i="8" s="1"/>
  <c r="D53" i="8" s="1"/>
  <c r="D57" i="8" s="1"/>
  <c r="C18" i="8"/>
  <c r="D12" i="8"/>
  <c r="C10" i="8"/>
  <c r="D13" i="8"/>
  <c r="C11" i="8"/>
  <c r="D19" i="8"/>
  <c r="M31" i="3"/>
  <c r="L31" i="8" s="1"/>
  <c r="L31" i="9" s="1"/>
  <c r="L31" i="10" s="1"/>
  <c r="L31" i="11" s="1"/>
  <c r="L38" i="3"/>
  <c r="L55" i="3" s="1"/>
  <c r="L57" i="3" s="1"/>
  <c r="L59" i="3" s="1"/>
  <c r="B2" i="6" l="1"/>
  <c r="E2" i="2" s="1"/>
  <c r="B11" i="6"/>
  <c r="E10" i="2" s="1"/>
  <c r="K6" i="12"/>
  <c r="K36" i="10"/>
  <c r="K36" i="11" s="1"/>
  <c r="K35" i="10"/>
  <c r="L30" i="9"/>
  <c r="M27" i="10"/>
  <c r="N27" i="10" s="1"/>
  <c r="N27" i="9"/>
  <c r="N36" i="3"/>
  <c r="L36" i="8"/>
  <c r="L36" i="9" s="1"/>
  <c r="L36" i="10" s="1"/>
  <c r="L36" i="11" s="1"/>
  <c r="K31" i="10"/>
  <c r="M30" i="8"/>
  <c r="O30" i="3"/>
  <c r="L27" i="11"/>
  <c r="I9" i="3"/>
  <c r="I46" i="3" s="1"/>
  <c r="G3" i="12"/>
  <c r="G4" i="12" s="1"/>
  <c r="N35" i="3"/>
  <c r="L35" i="8"/>
  <c r="L35" i="9" s="1"/>
  <c r="L35" i="10" s="1"/>
  <c r="L35" i="11" s="1"/>
  <c r="K30" i="10"/>
  <c r="K38" i="9"/>
  <c r="K55" i="9" s="1"/>
  <c r="L37" i="10"/>
  <c r="M37" i="8"/>
  <c r="O37" i="3"/>
  <c r="J30" i="11"/>
  <c r="J38" i="11" s="1"/>
  <c r="J55" i="11" s="1"/>
  <c r="J38" i="10"/>
  <c r="J55" i="10" s="1"/>
  <c r="K38" i="8"/>
  <c r="K55" i="8" s="1"/>
  <c r="C20" i="8"/>
  <c r="D18" i="8"/>
  <c r="D20" i="8" s="1"/>
  <c r="E12" i="8"/>
  <c r="D11" i="8"/>
  <c r="E19" i="8"/>
  <c r="D10" i="8"/>
  <c r="E13" i="8"/>
  <c r="E4" i="8"/>
  <c r="E7" i="8" s="1"/>
  <c r="E49" i="8" s="1"/>
  <c r="C14" i="8"/>
  <c r="N31" i="3"/>
  <c r="M31" i="8" s="1"/>
  <c r="M38" i="3"/>
  <c r="M55" i="3" s="1"/>
  <c r="M57" i="3" s="1"/>
  <c r="M59" i="3" s="1"/>
  <c r="G5" i="12" l="1"/>
  <c r="K7" i="12"/>
  <c r="L38" i="8"/>
  <c r="L55" i="8" s="1"/>
  <c r="E51" i="8"/>
  <c r="E53" i="8" s="1"/>
  <c r="E57" i="8" s="1"/>
  <c r="L6" i="12"/>
  <c r="J9" i="3"/>
  <c r="J46" i="3" s="1"/>
  <c r="H3" i="12"/>
  <c r="H4" i="12" s="1"/>
  <c r="H5" i="12" s="1"/>
  <c r="M31" i="9"/>
  <c r="N31" i="8"/>
  <c r="M27" i="11"/>
  <c r="K35" i="11"/>
  <c r="M37" i="9"/>
  <c r="N37" i="8"/>
  <c r="L37" i="11"/>
  <c r="M36" i="8"/>
  <c r="O36" i="3"/>
  <c r="L30" i="10"/>
  <c r="L38" i="9"/>
  <c r="L55" i="9" s="1"/>
  <c r="M30" i="9"/>
  <c r="N30" i="9" s="1"/>
  <c r="N30" i="8"/>
  <c r="K31" i="11"/>
  <c r="K30" i="11"/>
  <c r="K38" i="10"/>
  <c r="K55" i="10" s="1"/>
  <c r="M35" i="8"/>
  <c r="O35" i="3"/>
  <c r="D14" i="8"/>
  <c r="E10" i="8"/>
  <c r="F19" i="8"/>
  <c r="E18" i="8"/>
  <c r="E20" i="8" s="1"/>
  <c r="E11" i="8"/>
  <c r="F13" i="8"/>
  <c r="F12" i="8"/>
  <c r="F4" i="8"/>
  <c r="F7" i="8" s="1"/>
  <c r="F49" i="8" s="1"/>
  <c r="O31" i="3"/>
  <c r="N38" i="3"/>
  <c r="N55" i="3" s="1"/>
  <c r="N57" i="3" s="1"/>
  <c r="N59" i="3" s="1"/>
  <c r="M38" i="8" l="1"/>
  <c r="M55" i="8" s="1"/>
  <c r="L7" i="12"/>
  <c r="F51" i="8"/>
  <c r="F53" i="8" s="1"/>
  <c r="F57" i="8" s="1"/>
  <c r="M6" i="12"/>
  <c r="M7" i="12" s="1"/>
  <c r="B59" i="8"/>
  <c r="M35" i="9"/>
  <c r="N35" i="8"/>
  <c r="L30" i="11"/>
  <c r="L38" i="11" s="1"/>
  <c r="L55" i="11" s="1"/>
  <c r="L38" i="10"/>
  <c r="L55" i="10" s="1"/>
  <c r="N27" i="11"/>
  <c r="M31" i="10"/>
  <c r="N31" i="9"/>
  <c r="M30" i="10"/>
  <c r="N30" i="10"/>
  <c r="O38" i="3"/>
  <c r="M36" i="9"/>
  <c r="N36" i="8"/>
  <c r="I3" i="12"/>
  <c r="I4" i="12" s="1"/>
  <c r="K9" i="3"/>
  <c r="K46" i="3" s="1"/>
  <c r="K38" i="11"/>
  <c r="K55" i="11" s="1"/>
  <c r="M37" i="10"/>
  <c r="N37" i="9"/>
  <c r="F11" i="8"/>
  <c r="F10" i="8"/>
  <c r="G19" i="8"/>
  <c r="F18" i="8"/>
  <c r="G13" i="8"/>
  <c r="G12" i="8"/>
  <c r="G4" i="8"/>
  <c r="G7" i="8" s="1"/>
  <c r="G49" i="8" s="1"/>
  <c r="G51" i="8" s="1"/>
  <c r="G53" i="8" s="1"/>
  <c r="G57" i="8" s="1"/>
  <c r="E14" i="8"/>
  <c r="N38" i="8" l="1"/>
  <c r="C9" i="4" s="1"/>
  <c r="I5" i="12"/>
  <c r="B9" i="4"/>
  <c r="M31" i="11"/>
  <c r="N31" i="11" s="1"/>
  <c r="N31" i="10"/>
  <c r="M30" i="11"/>
  <c r="N6" i="12"/>
  <c r="C59" i="8"/>
  <c r="J3" i="12"/>
  <c r="J4" i="12" s="1"/>
  <c r="J5" i="12" s="1"/>
  <c r="L9" i="3"/>
  <c r="L46" i="3" s="1"/>
  <c r="M36" i="10"/>
  <c r="N36" i="9"/>
  <c r="M35" i="10"/>
  <c r="N35" i="9"/>
  <c r="M38" i="9"/>
  <c r="M55" i="9" s="1"/>
  <c r="M37" i="11"/>
  <c r="N37" i="11" s="1"/>
  <c r="N37" i="10"/>
  <c r="H4" i="8"/>
  <c r="H7" i="8" s="1"/>
  <c r="H49" i="8" s="1"/>
  <c r="H51" i="8" s="1"/>
  <c r="H53" i="8" s="1"/>
  <c r="H57" i="8" s="1"/>
  <c r="F14" i="8"/>
  <c r="G11" i="8"/>
  <c r="G18" i="8"/>
  <c r="G20" i="8" s="1"/>
  <c r="G10" i="8"/>
  <c r="H19" i="8"/>
  <c r="H12" i="8"/>
  <c r="H13" i="8"/>
  <c r="F20" i="8"/>
  <c r="B11" i="4" l="1"/>
  <c r="N7" i="12"/>
  <c r="N36" i="10"/>
  <c r="M36" i="11"/>
  <c r="N36" i="11" s="1"/>
  <c r="K3" i="12"/>
  <c r="K4" i="12" s="1"/>
  <c r="K5" i="12" s="1"/>
  <c r="M9" i="3"/>
  <c r="M46" i="3" s="1"/>
  <c r="O6" i="12"/>
  <c r="D59" i="8"/>
  <c r="M38" i="10"/>
  <c r="M55" i="10" s="1"/>
  <c r="N30" i="11"/>
  <c r="M35" i="11"/>
  <c r="N35" i="11" s="1"/>
  <c r="N35" i="10"/>
  <c r="N38" i="9"/>
  <c r="D9" i="4" s="1"/>
  <c r="G14" i="8"/>
  <c r="I4" i="8"/>
  <c r="I7" i="8" s="1"/>
  <c r="I49" i="8" s="1"/>
  <c r="I51" i="8" s="1"/>
  <c r="I53" i="8" s="1"/>
  <c r="I57" i="8" s="1"/>
  <c r="I12" i="8"/>
  <c r="H18" i="8"/>
  <c r="I19" i="8"/>
  <c r="I13" i="8"/>
  <c r="H11" i="8"/>
  <c r="H10" i="8"/>
  <c r="N38" i="10" l="1"/>
  <c r="E9" i="4" s="1"/>
  <c r="M38" i="11"/>
  <c r="M55" i="11" s="1"/>
  <c r="B13" i="4"/>
  <c r="B12" i="6"/>
  <c r="E11" i="2" s="1"/>
  <c r="O7" i="12"/>
  <c r="E59" i="8"/>
  <c r="P6" i="12"/>
  <c r="L3" i="12"/>
  <c r="L4" i="12" s="1"/>
  <c r="N9" i="3"/>
  <c r="N46" i="3" s="1"/>
  <c r="B19" i="4" s="1"/>
  <c r="B9" i="8" s="1"/>
  <c r="N38" i="11"/>
  <c r="F9" i="4" s="1"/>
  <c r="H20" i="8"/>
  <c r="J4" i="8"/>
  <c r="J7" i="8" s="1"/>
  <c r="J49" i="8" s="1"/>
  <c r="J51" i="8" s="1"/>
  <c r="J53" i="8" s="1"/>
  <c r="J57" i="8" s="1"/>
  <c r="H14" i="8"/>
  <c r="I18" i="8"/>
  <c r="I20" i="8" s="1"/>
  <c r="J13" i="8"/>
  <c r="I10" i="8"/>
  <c r="J19" i="8"/>
  <c r="I11" i="8"/>
  <c r="J12" i="8"/>
  <c r="B13" i="6" l="1"/>
  <c r="E12" i="2" s="1"/>
  <c r="B26" i="4"/>
  <c r="B5" i="6"/>
  <c r="E5" i="2" s="1"/>
  <c r="B3" i="6"/>
  <c r="E3" i="2" s="1"/>
  <c r="L5" i="12"/>
  <c r="P7" i="12"/>
  <c r="M3" i="12"/>
  <c r="M4" i="12" s="1"/>
  <c r="M5" i="12" s="1"/>
  <c r="B46" i="8"/>
  <c r="F59" i="8"/>
  <c r="Q6" i="12"/>
  <c r="Q7" i="12" s="1"/>
  <c r="K13" i="8"/>
  <c r="K19" i="8"/>
  <c r="K12" i="8"/>
  <c r="J11" i="8"/>
  <c r="J10" i="8"/>
  <c r="J18" i="8"/>
  <c r="J20" i="8" s="1"/>
  <c r="I14" i="8"/>
  <c r="K4" i="8"/>
  <c r="K7" i="8" s="1"/>
  <c r="K49" i="8" s="1"/>
  <c r="K51" i="8" s="1"/>
  <c r="K53" i="8" s="1"/>
  <c r="K57" i="8" s="1"/>
  <c r="C27" i="4" l="1"/>
  <c r="B29" i="4"/>
  <c r="B15" i="6"/>
  <c r="E14" i="2" s="1"/>
  <c r="B33" i="4"/>
  <c r="B4" i="6"/>
  <c r="E4" i="2" s="1"/>
  <c r="B24" i="4"/>
  <c r="G59" i="8"/>
  <c r="R6" i="12"/>
  <c r="C9" i="8"/>
  <c r="C46" i="8" s="1"/>
  <c r="N3" i="12"/>
  <c r="N4" i="12" s="1"/>
  <c r="L13" i="8"/>
  <c r="L12" i="8"/>
  <c r="K11" i="8"/>
  <c r="K10" i="8"/>
  <c r="K18" i="8"/>
  <c r="K20" i="8" s="1"/>
  <c r="L19" i="8"/>
  <c r="L4" i="8"/>
  <c r="L7" i="8" s="1"/>
  <c r="L49" i="8" s="1"/>
  <c r="L51" i="8" s="1"/>
  <c r="L53" i="8" s="1"/>
  <c r="L57" i="8" s="1"/>
  <c r="J14" i="8"/>
  <c r="R7" i="12" l="1"/>
  <c r="N5" i="12"/>
  <c r="B16" i="6"/>
  <c r="E15" i="2" s="1"/>
  <c r="B31" i="4"/>
  <c r="D9" i="8"/>
  <c r="D46" i="8" s="1"/>
  <c r="O3" i="12"/>
  <c r="O4" i="12" s="1"/>
  <c r="O5" i="12" s="1"/>
  <c r="H59" i="8"/>
  <c r="S6" i="12"/>
  <c r="M4" i="8"/>
  <c r="M7" i="8" s="1"/>
  <c r="M49" i="8" s="1"/>
  <c r="M51" i="8" s="1"/>
  <c r="M53" i="8" s="1"/>
  <c r="M57" i="8" s="1"/>
  <c r="K14" i="8"/>
  <c r="M13" i="8"/>
  <c r="N13" i="8" s="1"/>
  <c r="L18" i="8"/>
  <c r="L20" i="8" s="1"/>
  <c r="L11" i="8"/>
  <c r="M12" i="8"/>
  <c r="N12" i="8" s="1"/>
  <c r="L10" i="8"/>
  <c r="M19" i="8"/>
  <c r="N19" i="8" s="1"/>
  <c r="S7" i="12" l="1"/>
  <c r="I59" i="8"/>
  <c r="T6" i="12"/>
  <c r="T7" i="12" s="1"/>
  <c r="E9" i="8"/>
  <c r="E46" i="8" s="1"/>
  <c r="P3" i="12"/>
  <c r="P4" i="12" s="1"/>
  <c r="N4" i="8"/>
  <c r="C7" i="6" s="1"/>
  <c r="B12" i="9"/>
  <c r="B19" i="9"/>
  <c r="B13" i="9"/>
  <c r="L14" i="8"/>
  <c r="P20" i="8"/>
  <c r="C22" i="4" s="1"/>
  <c r="P7" i="8"/>
  <c r="C20" i="4" s="1"/>
  <c r="M11" i="8"/>
  <c r="N11" i="8" s="1"/>
  <c r="M10" i="8"/>
  <c r="M18" i="8"/>
  <c r="N7" i="8"/>
  <c r="C3" i="4" s="1"/>
  <c r="C10" i="6" s="1"/>
  <c r="F9" i="2" s="1"/>
  <c r="F7" i="2" l="1"/>
  <c r="C8" i="6"/>
  <c r="P5" i="12"/>
  <c r="F9" i="8"/>
  <c r="F46" i="8" s="1"/>
  <c r="Q3" i="12"/>
  <c r="Q4" i="12" s="1"/>
  <c r="J59" i="8"/>
  <c r="U6" i="12"/>
  <c r="C5" i="4"/>
  <c r="C7" i="4" s="1"/>
  <c r="M20" i="8"/>
  <c r="N18" i="8"/>
  <c r="N20" i="8" s="1"/>
  <c r="M14" i="8"/>
  <c r="N10" i="8"/>
  <c r="N14" i="8" s="1"/>
  <c r="C11" i="6" l="1"/>
  <c r="F10" i="2" s="1"/>
  <c r="C11" i="4"/>
  <c r="U7" i="12"/>
  <c r="Q5" i="12"/>
  <c r="K59" i="8"/>
  <c r="V6" i="12"/>
  <c r="G9" i="8"/>
  <c r="G46" i="8" s="1"/>
  <c r="R3" i="12"/>
  <c r="R4" i="12" s="1"/>
  <c r="C2" i="6"/>
  <c r="F2" i="2" s="1"/>
  <c r="B4" i="9"/>
  <c r="B7" i="9" s="1"/>
  <c r="B49" i="9" s="1"/>
  <c r="C4" i="9"/>
  <c r="C7" i="9" s="1"/>
  <c r="C49" i="9" s="1"/>
  <c r="C51" i="9" s="1"/>
  <c r="C53" i="9" s="1"/>
  <c r="C57" i="9" s="1"/>
  <c r="V7" i="12" l="1"/>
  <c r="C13" i="4"/>
  <c r="C5" i="6" s="1"/>
  <c r="F5" i="2" s="1"/>
  <c r="C12" i="6"/>
  <c r="F11" i="2" s="1"/>
  <c r="R5" i="12"/>
  <c r="B51" i="9"/>
  <c r="B53" i="9" s="1"/>
  <c r="B57" i="9" s="1"/>
  <c r="H9" i="8"/>
  <c r="H46" i="8" s="1"/>
  <c r="S3" i="12"/>
  <c r="S4" i="12" s="1"/>
  <c r="L59" i="8"/>
  <c r="W6" i="12"/>
  <c r="C26" i="4"/>
  <c r="C19" i="9"/>
  <c r="B18" i="9"/>
  <c r="B20" i="9" s="1"/>
  <c r="B10" i="9"/>
  <c r="C10" i="9"/>
  <c r="D12" i="9"/>
  <c r="C18" i="9"/>
  <c r="D13" i="9"/>
  <c r="D19" i="9"/>
  <c r="C11" i="9"/>
  <c r="C12" i="9"/>
  <c r="C13" i="9"/>
  <c r="B11" i="9"/>
  <c r="C3" i="6" l="1"/>
  <c r="F3" i="2" s="1"/>
  <c r="C13" i="6"/>
  <c r="F12" i="2" s="1"/>
  <c r="W7" i="12"/>
  <c r="S5" i="12"/>
  <c r="B14" i="9"/>
  <c r="C20" i="9"/>
  <c r="M59" i="8"/>
  <c r="X6" i="12"/>
  <c r="X7" i="12" s="1"/>
  <c r="T3" i="12"/>
  <c r="T4" i="12" s="1"/>
  <c r="I9" i="8"/>
  <c r="I46" i="8" s="1"/>
  <c r="C29" i="4"/>
  <c r="D27" i="4"/>
  <c r="D4" i="9"/>
  <c r="D7" i="9" s="1"/>
  <c r="D49" i="9" s="1"/>
  <c r="C14" i="9"/>
  <c r="T5" i="12" l="1"/>
  <c r="D51" i="9"/>
  <c r="D53" i="9" s="1"/>
  <c r="D57" i="9" s="1"/>
  <c r="U3" i="12"/>
  <c r="U4" i="12" s="1"/>
  <c r="J9" i="8"/>
  <c r="J46" i="8" s="1"/>
  <c r="Y6" i="12"/>
  <c r="Y7" i="12" s="1"/>
  <c r="B59" i="9"/>
  <c r="E4" i="9"/>
  <c r="E7" i="9" s="1"/>
  <c r="E49" i="9" s="1"/>
  <c r="D11" i="9"/>
  <c r="E19" i="9"/>
  <c r="D10" i="9"/>
  <c r="E12" i="9"/>
  <c r="E13" i="9"/>
  <c r="D18" i="9"/>
  <c r="D20" i="9" s="1"/>
  <c r="U5" i="12" l="1"/>
  <c r="E51" i="9"/>
  <c r="E53" i="9" s="1"/>
  <c r="E57" i="9" s="1"/>
  <c r="K9" i="8"/>
  <c r="K46" i="8" s="1"/>
  <c r="V3" i="12"/>
  <c r="V4" i="12" s="1"/>
  <c r="Z6" i="12"/>
  <c r="Z7" i="12" s="1"/>
  <c r="C59" i="9"/>
  <c r="D14" i="9"/>
  <c r="F4" i="9"/>
  <c r="F7" i="9" s="1"/>
  <c r="G12" i="9" s="1"/>
  <c r="F12" i="9"/>
  <c r="E11" i="9"/>
  <c r="F13" i="9"/>
  <c r="E10" i="9"/>
  <c r="E18" i="9"/>
  <c r="E20" i="9" s="1"/>
  <c r="F19" i="9"/>
  <c r="V5" i="12" l="1"/>
  <c r="G19" i="9"/>
  <c r="F49" i="9"/>
  <c r="F51" i="9" s="1"/>
  <c r="F53" i="9" s="1"/>
  <c r="F57" i="9" s="1"/>
  <c r="F11" i="9"/>
  <c r="D59" i="9"/>
  <c r="AA6" i="12"/>
  <c r="AA7" i="12" s="1"/>
  <c r="L9" i="8"/>
  <c r="L46" i="8" s="1"/>
  <c r="W3" i="12"/>
  <c r="W4" i="12" s="1"/>
  <c r="W5" i="12" s="1"/>
  <c r="E14" i="9"/>
  <c r="F10" i="9"/>
  <c r="G13" i="9"/>
  <c r="F18" i="9"/>
  <c r="F20" i="9" s="1"/>
  <c r="G4" i="9"/>
  <c r="G7" i="9" s="1"/>
  <c r="G49" i="9" s="1"/>
  <c r="F14" i="9" l="1"/>
  <c r="G51" i="9"/>
  <c r="G53" i="9" s="1"/>
  <c r="G57" i="9" s="1"/>
  <c r="M9" i="8"/>
  <c r="M46" i="8" s="1"/>
  <c r="C19" i="4" s="1"/>
  <c r="B9" i="9" s="1"/>
  <c r="X3" i="12"/>
  <c r="X4" i="12" s="1"/>
  <c r="E59" i="9"/>
  <c r="AB6" i="12"/>
  <c r="G18" i="9"/>
  <c r="G20" i="9" s="1"/>
  <c r="H12" i="9"/>
  <c r="H19" i="9"/>
  <c r="G10" i="9"/>
  <c r="G11" i="9"/>
  <c r="H13" i="9"/>
  <c r="H4" i="9"/>
  <c r="H7" i="9" s="1"/>
  <c r="H49" i="9" s="1"/>
  <c r="H51" i="9" s="1"/>
  <c r="H53" i="9" s="1"/>
  <c r="H57" i="9" s="1"/>
  <c r="AB7" i="12" l="1"/>
  <c r="X5" i="12"/>
  <c r="F59" i="9"/>
  <c r="AC6" i="12"/>
  <c r="B46" i="9"/>
  <c r="Y3" i="12"/>
  <c r="Y4" i="12" s="1"/>
  <c r="I4" i="9"/>
  <c r="I7" i="9" s="1"/>
  <c r="J12" i="9" s="1"/>
  <c r="I13" i="9"/>
  <c r="I19" i="9"/>
  <c r="H11" i="9"/>
  <c r="I12" i="9"/>
  <c r="H18" i="9"/>
  <c r="H20" i="9" s="1"/>
  <c r="H10" i="9"/>
  <c r="G14" i="9"/>
  <c r="AC7" i="12" l="1"/>
  <c r="Y5" i="12"/>
  <c r="C15" i="6"/>
  <c r="F14" i="2" s="1"/>
  <c r="C33" i="4"/>
  <c r="H14" i="9"/>
  <c r="I18" i="9"/>
  <c r="J13" i="9"/>
  <c r="J19" i="9"/>
  <c r="I10" i="9"/>
  <c r="I11" i="9"/>
  <c r="I49" i="9"/>
  <c r="I51" i="9" s="1"/>
  <c r="I53" i="9" s="1"/>
  <c r="I57" i="9" s="1"/>
  <c r="C24" i="4"/>
  <c r="C4" i="6"/>
  <c r="F4" i="2" s="1"/>
  <c r="Z3" i="12"/>
  <c r="Z4" i="12" s="1"/>
  <c r="C9" i="9"/>
  <c r="C46" i="9" s="1"/>
  <c r="G59" i="9"/>
  <c r="AD6" i="12"/>
  <c r="AD7" i="12" s="1"/>
  <c r="I20" i="9"/>
  <c r="J4" i="9"/>
  <c r="J7" i="9" s="1"/>
  <c r="J49" i="9" s="1"/>
  <c r="J51" i="9" s="1"/>
  <c r="J53" i="9" s="1"/>
  <c r="J57" i="9" s="1"/>
  <c r="Z5" i="12" l="1"/>
  <c r="C16" i="6"/>
  <c r="F15" i="2" s="1"/>
  <c r="C31" i="4"/>
  <c r="I14" i="9"/>
  <c r="H59" i="9"/>
  <c r="AE6" i="12"/>
  <c r="AE7" i="12" s="1"/>
  <c r="AA3" i="12"/>
  <c r="AA4" i="12" s="1"/>
  <c r="D9" i="9"/>
  <c r="D46" i="9" s="1"/>
  <c r="K19" i="9"/>
  <c r="J10" i="9"/>
  <c r="K13" i="9"/>
  <c r="J18" i="9"/>
  <c r="J20" i="9" s="1"/>
  <c r="K12" i="9"/>
  <c r="J11" i="9"/>
  <c r="K4" i="9"/>
  <c r="K7" i="9" s="1"/>
  <c r="K49" i="9" s="1"/>
  <c r="K51" i="9" s="1"/>
  <c r="K53" i="9" s="1"/>
  <c r="K57" i="9" s="1"/>
  <c r="AA5" i="12" l="1"/>
  <c r="E9" i="9"/>
  <c r="E46" i="9" s="1"/>
  <c r="AB3" i="12"/>
  <c r="AB4" i="12" s="1"/>
  <c r="I59" i="9"/>
  <c r="AF6" i="12"/>
  <c r="L4" i="9"/>
  <c r="L7" i="9" s="1"/>
  <c r="L49" i="9" s="1"/>
  <c r="L51" i="9" s="1"/>
  <c r="L53" i="9" s="1"/>
  <c r="L57" i="9" s="1"/>
  <c r="K10" i="9"/>
  <c r="L12" i="9"/>
  <c r="K18" i="9"/>
  <c r="K20" i="9" s="1"/>
  <c r="L19" i="9"/>
  <c r="L13" i="9"/>
  <c r="K11" i="9"/>
  <c r="J14" i="9"/>
  <c r="AF7" i="12" l="1"/>
  <c r="AB5" i="12"/>
  <c r="J59" i="9"/>
  <c r="AG6" i="12"/>
  <c r="AG7" i="12" s="1"/>
  <c r="F9" i="9"/>
  <c r="F46" i="9" s="1"/>
  <c r="AC3" i="12"/>
  <c r="AC4" i="12" s="1"/>
  <c r="K14" i="9"/>
  <c r="M13" i="9"/>
  <c r="N13" i="9" s="1"/>
  <c r="L18" i="9"/>
  <c r="L20" i="9" s="1"/>
  <c r="L10" i="9"/>
  <c r="M12" i="9"/>
  <c r="N12" i="9" s="1"/>
  <c r="L11" i="9"/>
  <c r="M19" i="9"/>
  <c r="N19" i="9" s="1"/>
  <c r="M4" i="9"/>
  <c r="AC5" i="12" l="1"/>
  <c r="AD3" i="12"/>
  <c r="AD4" i="12" s="1"/>
  <c r="G9" i="9"/>
  <c r="G46" i="9" s="1"/>
  <c r="K59" i="9"/>
  <c r="AH6" i="12"/>
  <c r="N4" i="9"/>
  <c r="D7" i="6" s="1"/>
  <c r="M7" i="9"/>
  <c r="M49" i="9" s="1"/>
  <c r="M51" i="9" s="1"/>
  <c r="M53" i="9" s="1"/>
  <c r="M57" i="9" s="1"/>
  <c r="B4" i="10"/>
  <c r="B7" i="10" s="1"/>
  <c r="L14" i="9"/>
  <c r="G7" i="2" l="1"/>
  <c r="D8" i="6"/>
  <c r="AH7" i="12"/>
  <c r="AD5" i="12"/>
  <c r="B10" i="10"/>
  <c r="B49" i="10"/>
  <c r="B51" i="10" s="1"/>
  <c r="B53" i="10" s="1"/>
  <c r="B57" i="10" s="1"/>
  <c r="C13" i="10"/>
  <c r="H9" i="9"/>
  <c r="H46" i="9" s="1"/>
  <c r="AE3" i="12"/>
  <c r="AE4" i="12" s="1"/>
  <c r="L59" i="9"/>
  <c r="AI6" i="12"/>
  <c r="B18" i="10"/>
  <c r="C12" i="10"/>
  <c r="C4" i="10"/>
  <c r="C7" i="10" s="1"/>
  <c r="C49" i="10" s="1"/>
  <c r="B11" i="10"/>
  <c r="N7" i="9"/>
  <c r="D3" i="4" s="1"/>
  <c r="B13" i="10"/>
  <c r="B19" i="10"/>
  <c r="P20" i="9"/>
  <c r="D22" i="4" s="1"/>
  <c r="M18" i="9"/>
  <c r="P7" i="9"/>
  <c r="D20" i="4" s="1"/>
  <c r="M11" i="9"/>
  <c r="N11" i="9" s="1"/>
  <c r="B12" i="10"/>
  <c r="M10" i="9"/>
  <c r="C19" i="10"/>
  <c r="AI7" i="12" l="1"/>
  <c r="AE5" i="12"/>
  <c r="D5" i="4"/>
  <c r="D7" i="4" s="1"/>
  <c r="D10" i="6"/>
  <c r="G9" i="2" s="1"/>
  <c r="C51" i="10"/>
  <c r="C53" i="10" s="1"/>
  <c r="C57" i="10" s="1"/>
  <c r="B20" i="10"/>
  <c r="M59" i="9"/>
  <c r="AJ6" i="12"/>
  <c r="AF3" i="12"/>
  <c r="AF4" i="12" s="1"/>
  <c r="I9" i="9"/>
  <c r="I46" i="9" s="1"/>
  <c r="B14" i="10"/>
  <c r="D4" i="10"/>
  <c r="D7" i="10" s="1"/>
  <c r="D49" i="10" s="1"/>
  <c r="D51" i="10" s="1"/>
  <c r="D53" i="10" s="1"/>
  <c r="D57" i="10" s="1"/>
  <c r="M20" i="9"/>
  <c r="N18" i="9"/>
  <c r="N20" i="9" s="1"/>
  <c r="N10" i="9"/>
  <c r="N14" i="9" s="1"/>
  <c r="M14" i="9"/>
  <c r="C11" i="10"/>
  <c r="C10" i="10"/>
  <c r="C18" i="10"/>
  <c r="C20" i="10" s="1"/>
  <c r="D13" i="10"/>
  <c r="D19" i="10"/>
  <c r="D12" i="10"/>
  <c r="D11" i="6" l="1"/>
  <c r="G10" i="2" s="1"/>
  <c r="D11" i="4"/>
  <c r="AJ7" i="12"/>
  <c r="AF5" i="12"/>
  <c r="D2" i="6"/>
  <c r="G2" i="2" s="1"/>
  <c r="AG3" i="12"/>
  <c r="AG4" i="12" s="1"/>
  <c r="J9" i="9"/>
  <c r="J46" i="9" s="1"/>
  <c r="AK6" i="12"/>
  <c r="AK7" i="12" s="1"/>
  <c r="B59" i="10"/>
  <c r="C14" i="10"/>
  <c r="E12" i="10"/>
  <c r="E13" i="10"/>
  <c r="D10" i="10"/>
  <c r="D11" i="10"/>
  <c r="D18" i="10"/>
  <c r="D20" i="10" s="1"/>
  <c r="E19" i="10"/>
  <c r="E4" i="10"/>
  <c r="E7" i="10" s="1"/>
  <c r="E49" i="10" s="1"/>
  <c r="D13" i="4" l="1"/>
  <c r="D26" i="4" s="1"/>
  <c r="D29" i="4" s="1"/>
  <c r="D12" i="6"/>
  <c r="G11" i="2" s="1"/>
  <c r="AG5" i="12"/>
  <c r="E51" i="10"/>
  <c r="E53" i="10" s="1"/>
  <c r="E57" i="10" s="1"/>
  <c r="AL6" i="12"/>
  <c r="C59" i="10"/>
  <c r="K9" i="9"/>
  <c r="K46" i="9" s="1"/>
  <c r="AH3" i="12"/>
  <c r="AH4" i="12" s="1"/>
  <c r="F4" i="10"/>
  <c r="F7" i="10" s="1"/>
  <c r="E10" i="10"/>
  <c r="F13" i="10"/>
  <c r="E11" i="10"/>
  <c r="F19" i="10"/>
  <c r="E18" i="10"/>
  <c r="E20" i="10" s="1"/>
  <c r="F12" i="10"/>
  <c r="D14" i="10"/>
  <c r="D13" i="6" l="1"/>
  <c r="G12" i="2" s="1"/>
  <c r="D5" i="6"/>
  <c r="G5" i="2" s="1"/>
  <c r="E27" i="4"/>
  <c r="D3" i="6"/>
  <c r="G3" i="2" s="1"/>
  <c r="AL7" i="12"/>
  <c r="AH5" i="12"/>
  <c r="G13" i="10"/>
  <c r="F49" i="10"/>
  <c r="F51" i="10" s="1"/>
  <c r="F53" i="10" s="1"/>
  <c r="F57" i="10" s="1"/>
  <c r="L9" i="9"/>
  <c r="L46" i="9" s="1"/>
  <c r="AI3" i="12"/>
  <c r="AI4" i="12" s="1"/>
  <c r="AI5" i="12" s="1"/>
  <c r="D59" i="10"/>
  <c r="AM6" i="12"/>
  <c r="F10" i="10"/>
  <c r="F18" i="10"/>
  <c r="F20" i="10" s="1"/>
  <c r="G19" i="10"/>
  <c r="F11" i="10"/>
  <c r="G12" i="10"/>
  <c r="G4" i="10"/>
  <c r="G7" i="10" s="1"/>
  <c r="G49" i="10" s="1"/>
  <c r="E14" i="10"/>
  <c r="AM7" i="12" l="1"/>
  <c r="F14" i="10"/>
  <c r="G51" i="10"/>
  <c r="G53" i="10" s="1"/>
  <c r="G57" i="10" s="1"/>
  <c r="E59" i="10"/>
  <c r="AN6" i="12"/>
  <c r="AN7" i="12" s="1"/>
  <c r="M9" i="9"/>
  <c r="M46" i="9" s="1"/>
  <c r="D19" i="4" s="1"/>
  <c r="B9" i="10" s="1"/>
  <c r="AJ3" i="12"/>
  <c r="AJ4" i="12" s="1"/>
  <c r="H4" i="10"/>
  <c r="H7" i="10" s="1"/>
  <c r="H12" i="10"/>
  <c r="H19" i="10"/>
  <c r="G18" i="10"/>
  <c r="G20" i="10" s="1"/>
  <c r="H13" i="10"/>
  <c r="G11" i="10"/>
  <c r="G10" i="10"/>
  <c r="AJ5" i="12" l="1"/>
  <c r="H18" i="10"/>
  <c r="H20" i="10" s="1"/>
  <c r="H49" i="10"/>
  <c r="I12" i="10"/>
  <c r="I13" i="10"/>
  <c r="H10" i="10"/>
  <c r="AK3" i="12"/>
  <c r="AK4" i="12" s="1"/>
  <c r="B46" i="10"/>
  <c r="C28" i="5"/>
  <c r="F59" i="10"/>
  <c r="AO6" i="12"/>
  <c r="H11" i="10"/>
  <c r="I19" i="10"/>
  <c r="G14" i="10"/>
  <c r="I4" i="10"/>
  <c r="I7" i="10" s="1"/>
  <c r="I49" i="10" s="1"/>
  <c r="I51" i="10" s="1"/>
  <c r="I53" i="10" s="1"/>
  <c r="I57" i="10" s="1"/>
  <c r="AO7" i="12" l="1"/>
  <c r="AK5" i="12"/>
  <c r="D15" i="6"/>
  <c r="G14" i="2" s="1"/>
  <c r="D33" i="4"/>
  <c r="H14" i="10"/>
  <c r="H51" i="10"/>
  <c r="H53" i="10" s="1"/>
  <c r="H57" i="10" s="1"/>
  <c r="G59" i="10"/>
  <c r="AP6" i="12"/>
  <c r="D24" i="4"/>
  <c r="D4" i="6"/>
  <c r="G4" i="2" s="1"/>
  <c r="C9" i="10"/>
  <c r="C46" i="10" s="1"/>
  <c r="AL3" i="12"/>
  <c r="AL4" i="12" s="1"/>
  <c r="I18" i="10"/>
  <c r="I20" i="10" s="1"/>
  <c r="J12" i="10"/>
  <c r="J19" i="10"/>
  <c r="I11" i="10"/>
  <c r="J13" i="10"/>
  <c r="I10" i="10"/>
  <c r="J4" i="10"/>
  <c r="J7" i="10" s="1"/>
  <c r="J49" i="10" s="1"/>
  <c r="AP7" i="12" l="1"/>
  <c r="AL5" i="12"/>
  <c r="D16" i="6"/>
  <c r="G15" i="2" s="1"/>
  <c r="D31" i="4"/>
  <c r="J51" i="10"/>
  <c r="J53" i="10" s="1"/>
  <c r="J57" i="10" s="1"/>
  <c r="D9" i="10"/>
  <c r="D46" i="10" s="1"/>
  <c r="AM3" i="12"/>
  <c r="AM4" i="12" s="1"/>
  <c r="H59" i="10"/>
  <c r="AQ6" i="12"/>
  <c r="I14" i="10"/>
  <c r="K19" i="10"/>
  <c r="K13" i="10"/>
  <c r="K12" i="10"/>
  <c r="J11" i="10"/>
  <c r="J10" i="10"/>
  <c r="J18" i="10"/>
  <c r="J20" i="10" s="1"/>
  <c r="K4" i="10"/>
  <c r="K7" i="10" s="1"/>
  <c r="K49" i="10" s="1"/>
  <c r="AQ7" i="12" l="1"/>
  <c r="AM5" i="12"/>
  <c r="J14" i="10"/>
  <c r="K51" i="10"/>
  <c r="K53" i="10" s="1"/>
  <c r="K57" i="10" s="1"/>
  <c r="AR6" i="12"/>
  <c r="I59" i="10"/>
  <c r="E9" i="10"/>
  <c r="E46" i="10" s="1"/>
  <c r="AN3" i="12"/>
  <c r="AN4" i="12" s="1"/>
  <c r="L4" i="10"/>
  <c r="L7" i="10" s="1"/>
  <c r="L49" i="10" s="1"/>
  <c r="L51" i="10" s="1"/>
  <c r="L53" i="10" s="1"/>
  <c r="L57" i="10" s="1"/>
  <c r="K18" i="10"/>
  <c r="K20" i="10" s="1"/>
  <c r="K10" i="10"/>
  <c r="K11" i="10"/>
  <c r="L19" i="10"/>
  <c r="L13" i="10"/>
  <c r="L12" i="10"/>
  <c r="AR7" i="12" l="1"/>
  <c r="AN5" i="12"/>
  <c r="J59" i="10"/>
  <c r="AS6" i="12"/>
  <c r="F9" i="10"/>
  <c r="F46" i="10" s="1"/>
  <c r="AO3" i="12"/>
  <c r="AO4" i="12" s="1"/>
  <c r="M19" i="10"/>
  <c r="N19" i="10" s="1"/>
  <c r="L10" i="10"/>
  <c r="L18" i="10"/>
  <c r="L20" i="10" s="1"/>
  <c r="M12" i="10"/>
  <c r="N12" i="10" s="1"/>
  <c r="L11" i="10"/>
  <c r="M13" i="10"/>
  <c r="N13" i="10" s="1"/>
  <c r="K14" i="10"/>
  <c r="M4" i="10"/>
  <c r="AS7" i="12" l="1"/>
  <c r="AO5" i="12"/>
  <c r="G9" i="10"/>
  <c r="G46" i="10" s="1"/>
  <c r="AP3" i="12"/>
  <c r="AP4" i="12" s="1"/>
  <c r="K59" i="10"/>
  <c r="AT6" i="12"/>
  <c r="B4" i="11"/>
  <c r="B7" i="11" s="1"/>
  <c r="M7" i="10"/>
  <c r="M49" i="10" s="1"/>
  <c r="M51" i="10" s="1"/>
  <c r="M53" i="10" s="1"/>
  <c r="M57" i="10" s="1"/>
  <c r="N4" i="10"/>
  <c r="E7" i="6" s="1"/>
  <c r="L14" i="10"/>
  <c r="H7" i="2" l="1"/>
  <c r="E8" i="6"/>
  <c r="AT7" i="12"/>
  <c r="AP5" i="12"/>
  <c r="C19" i="11"/>
  <c r="B49" i="11"/>
  <c r="B51" i="11" s="1"/>
  <c r="B53" i="11" s="1"/>
  <c r="B57" i="11" s="1"/>
  <c r="L59" i="10"/>
  <c r="AU6" i="12"/>
  <c r="H9" i="10"/>
  <c r="H46" i="10" s="1"/>
  <c r="AQ3" i="12"/>
  <c r="AQ4" i="12" s="1"/>
  <c r="B19" i="11"/>
  <c r="B13" i="11"/>
  <c r="B12" i="11"/>
  <c r="C12" i="11"/>
  <c r="B18" i="11"/>
  <c r="B10" i="11"/>
  <c r="C13" i="11"/>
  <c r="B11" i="11"/>
  <c r="M18" i="10"/>
  <c r="P7" i="10"/>
  <c r="E20" i="4" s="1"/>
  <c r="P20" i="10"/>
  <c r="E22" i="4" s="1"/>
  <c r="N7" i="10"/>
  <c r="E3" i="4" s="1"/>
  <c r="E10" i="6" s="1"/>
  <c r="H9" i="2" s="1"/>
  <c r="M11" i="10"/>
  <c r="N11" i="10" s="1"/>
  <c r="M10" i="10"/>
  <c r="C4" i="11"/>
  <c r="C7" i="11" s="1"/>
  <c r="C49" i="11" s="1"/>
  <c r="AU7" i="12" l="1"/>
  <c r="AQ5" i="12"/>
  <c r="B20" i="11"/>
  <c r="C51" i="11"/>
  <c r="C53" i="11" s="1"/>
  <c r="C57" i="11" s="1"/>
  <c r="M59" i="10"/>
  <c r="AV6" i="12"/>
  <c r="I9" i="10"/>
  <c r="I46" i="10" s="1"/>
  <c r="AR3" i="12"/>
  <c r="AR4" i="12" s="1"/>
  <c r="AR5" i="12" s="1"/>
  <c r="B14" i="11"/>
  <c r="C11" i="11"/>
  <c r="D12" i="11"/>
  <c r="C10" i="11"/>
  <c r="C18" i="11"/>
  <c r="C20" i="11" s="1"/>
  <c r="D19" i="11"/>
  <c r="D13" i="11"/>
  <c r="E5" i="4"/>
  <c r="E7" i="4" s="1"/>
  <c r="M14" i="10"/>
  <c r="N10" i="10"/>
  <c r="N14" i="10" s="1"/>
  <c r="D4" i="11"/>
  <c r="D7" i="11" s="1"/>
  <c r="D49" i="11" s="1"/>
  <c r="D51" i="11" s="1"/>
  <c r="D53" i="11" s="1"/>
  <c r="D57" i="11" s="1"/>
  <c r="M20" i="10"/>
  <c r="N18" i="10"/>
  <c r="N20" i="10" s="1"/>
  <c r="E11" i="6" l="1"/>
  <c r="H10" i="2" s="1"/>
  <c r="E11" i="4"/>
  <c r="AV7" i="12"/>
  <c r="C14" i="11"/>
  <c r="J9" i="10"/>
  <c r="J46" i="10" s="1"/>
  <c r="AS3" i="12"/>
  <c r="AS4" i="12" s="1"/>
  <c r="AW6" i="12"/>
  <c r="B59" i="11"/>
  <c r="E2" i="6"/>
  <c r="H2" i="2" s="1"/>
  <c r="D11" i="11"/>
  <c r="D18" i="11"/>
  <c r="D20" i="11" s="1"/>
  <c r="E19" i="11"/>
  <c r="E12" i="11"/>
  <c r="D10" i="11"/>
  <c r="E13" i="11"/>
  <c r="E4" i="11"/>
  <c r="E7" i="11" s="1"/>
  <c r="D14" i="11" l="1"/>
  <c r="E13" i="4"/>
  <c r="E13" i="6" s="1"/>
  <c r="H12" i="2" s="1"/>
  <c r="E12" i="6"/>
  <c r="H11" i="2" s="1"/>
  <c r="AW7" i="12"/>
  <c r="AS5" i="12"/>
  <c r="F19" i="11"/>
  <c r="E49" i="11"/>
  <c r="E51" i="11" s="1"/>
  <c r="E53" i="11" s="1"/>
  <c r="E57" i="11" s="1"/>
  <c r="AX6" i="12"/>
  <c r="C59" i="11"/>
  <c r="K9" i="10"/>
  <c r="K46" i="10" s="1"/>
  <c r="AT3" i="12"/>
  <c r="AT4" i="12" s="1"/>
  <c r="F13" i="11"/>
  <c r="E10" i="11"/>
  <c r="F12" i="11"/>
  <c r="F4" i="11"/>
  <c r="F7" i="11" s="1"/>
  <c r="F49" i="11" s="1"/>
  <c r="F51" i="11" s="1"/>
  <c r="F53" i="11" s="1"/>
  <c r="F57" i="11" s="1"/>
  <c r="E18" i="11"/>
  <c r="E20" i="11" s="1"/>
  <c r="E11" i="11"/>
  <c r="E5" i="6" l="1"/>
  <c r="H5" i="2" s="1"/>
  <c r="E26" i="4"/>
  <c r="F27" i="4" s="1"/>
  <c r="E3" i="6"/>
  <c r="H3" i="2" s="1"/>
  <c r="AX7" i="12"/>
  <c r="AT5" i="12"/>
  <c r="E14" i="11"/>
  <c r="L9" i="10"/>
  <c r="L46" i="10" s="1"/>
  <c r="AU3" i="12"/>
  <c r="AU4" i="12" s="1"/>
  <c r="D59" i="11"/>
  <c r="AY6" i="12"/>
  <c r="AY7" i="12" s="1"/>
  <c r="F18" i="11"/>
  <c r="F20" i="11" s="1"/>
  <c r="G13" i="11"/>
  <c r="F11" i="11"/>
  <c r="G12" i="11"/>
  <c r="G19" i="11"/>
  <c r="F10" i="11"/>
  <c r="G4" i="11"/>
  <c r="G7" i="11" s="1"/>
  <c r="G49" i="11" s="1"/>
  <c r="G51" i="11" s="1"/>
  <c r="G53" i="11" s="1"/>
  <c r="G57" i="11" s="1"/>
  <c r="E29" i="4" l="1"/>
  <c r="AU5" i="12"/>
  <c r="E59" i="11"/>
  <c r="AZ6" i="12"/>
  <c r="AZ7" i="12" s="1"/>
  <c r="M9" i="10"/>
  <c r="M46" i="10" s="1"/>
  <c r="E19" i="4" s="1"/>
  <c r="B9" i="11" s="1"/>
  <c r="AV3" i="12"/>
  <c r="AV4" i="12" s="1"/>
  <c r="F14" i="11"/>
  <c r="H4" i="11"/>
  <c r="H7" i="11" s="1"/>
  <c r="G10" i="11"/>
  <c r="G18" i="11"/>
  <c r="G20" i="11" s="1"/>
  <c r="H13" i="11"/>
  <c r="H19" i="11"/>
  <c r="G11" i="11"/>
  <c r="H12" i="11"/>
  <c r="AV5" i="12" l="1"/>
  <c r="H11" i="11"/>
  <c r="H49" i="11"/>
  <c r="H51" i="11" s="1"/>
  <c r="H53" i="11" s="1"/>
  <c r="H57" i="11" s="1"/>
  <c r="I12" i="11"/>
  <c r="I19" i="11"/>
  <c r="I13" i="11"/>
  <c r="AW3" i="12"/>
  <c r="AW4" i="12" s="1"/>
  <c r="AW5" i="12" s="1"/>
  <c r="B46" i="11"/>
  <c r="F59" i="11"/>
  <c r="BA6" i="12"/>
  <c r="H18" i="11"/>
  <c r="H20" i="11" s="1"/>
  <c r="H10" i="11"/>
  <c r="I4" i="11"/>
  <c r="I7" i="11" s="1"/>
  <c r="I49" i="11" s="1"/>
  <c r="I51" i="11" s="1"/>
  <c r="I53" i="11" s="1"/>
  <c r="I57" i="11" s="1"/>
  <c r="G14" i="11"/>
  <c r="H14" i="11" l="1"/>
  <c r="BA7" i="12"/>
  <c r="E15" i="6"/>
  <c r="H14" i="2" s="1"/>
  <c r="E33" i="4"/>
  <c r="G59" i="11"/>
  <c r="BB6" i="12"/>
  <c r="BB7" i="12" s="1"/>
  <c r="E24" i="4"/>
  <c r="E4" i="6"/>
  <c r="H4" i="2" s="1"/>
  <c r="C9" i="11"/>
  <c r="C46" i="11" s="1"/>
  <c r="AX3" i="12"/>
  <c r="AX4" i="12" s="1"/>
  <c r="I11" i="11"/>
  <c r="J13" i="11"/>
  <c r="I18" i="11"/>
  <c r="I20" i="11" s="1"/>
  <c r="I10" i="11"/>
  <c r="J12" i="11"/>
  <c r="J19" i="11"/>
  <c r="J4" i="11"/>
  <c r="J7" i="11" s="1"/>
  <c r="J49" i="11" s="1"/>
  <c r="J51" i="11" s="1"/>
  <c r="J53" i="11" s="1"/>
  <c r="J57" i="11" s="1"/>
  <c r="AX5" i="12" l="1"/>
  <c r="E16" i="6"/>
  <c r="H15" i="2" s="1"/>
  <c r="E31" i="4"/>
  <c r="D9" i="11"/>
  <c r="D46" i="11" s="1"/>
  <c r="AY3" i="12"/>
  <c r="AY4" i="12" s="1"/>
  <c r="H59" i="11"/>
  <c r="BC6" i="12"/>
  <c r="I14" i="11"/>
  <c r="K4" i="11"/>
  <c r="K7" i="11" s="1"/>
  <c r="K49" i="11" s="1"/>
  <c r="K51" i="11" s="1"/>
  <c r="K53" i="11" s="1"/>
  <c r="K57" i="11" s="1"/>
  <c r="J11" i="11"/>
  <c r="K19" i="11"/>
  <c r="K12" i="11"/>
  <c r="J18" i="11"/>
  <c r="J20" i="11" s="1"/>
  <c r="J10" i="11"/>
  <c r="K13" i="11"/>
  <c r="BC7" i="12" l="1"/>
  <c r="AY5" i="12"/>
  <c r="J14" i="11"/>
  <c r="I59" i="11"/>
  <c r="BD6" i="12"/>
  <c r="E9" i="11"/>
  <c r="E46" i="11" s="1"/>
  <c r="AZ3" i="12"/>
  <c r="AZ4" i="12" s="1"/>
  <c r="K11" i="11"/>
  <c r="K18" i="11"/>
  <c r="K20" i="11" s="1"/>
  <c r="L13" i="11"/>
  <c r="L12" i="11"/>
  <c r="K10" i="11"/>
  <c r="L19" i="11"/>
  <c r="L4" i="11"/>
  <c r="M4" i="11"/>
  <c r="M7" i="11" s="1"/>
  <c r="K14" i="11" l="1"/>
  <c r="BD7" i="12"/>
  <c r="AZ5" i="12"/>
  <c r="P7" i="11"/>
  <c r="F20" i="4" s="1"/>
  <c r="M49" i="11"/>
  <c r="M51" i="11" s="1"/>
  <c r="M53" i="11" s="1"/>
  <c r="M57" i="11" s="1"/>
  <c r="F9" i="11"/>
  <c r="F46" i="11" s="1"/>
  <c r="BA3" i="12"/>
  <c r="BA4" i="12" s="1"/>
  <c r="J59" i="11"/>
  <c r="BE6" i="12"/>
  <c r="M10" i="11"/>
  <c r="M11" i="11"/>
  <c r="M18" i="11"/>
  <c r="P20" i="11"/>
  <c r="F22" i="4" s="1"/>
  <c r="L7" i="11"/>
  <c r="L49" i="11" s="1"/>
  <c r="L51" i="11" s="1"/>
  <c r="L53" i="11" s="1"/>
  <c r="L57" i="11" s="1"/>
  <c r="N4" i="11"/>
  <c r="F7" i="6" s="1"/>
  <c r="I7" i="2" l="1"/>
  <c r="F8" i="6"/>
  <c r="BE7" i="12"/>
  <c r="BA5" i="12"/>
  <c r="K59" i="11"/>
  <c r="BF6" i="12"/>
  <c r="G9" i="11"/>
  <c r="G46" i="11" s="1"/>
  <c r="BB3" i="12"/>
  <c r="BB4" i="12" s="1"/>
  <c r="M13" i="11"/>
  <c r="N13" i="11" s="1"/>
  <c r="L11" i="11"/>
  <c r="N11" i="11" s="1"/>
  <c r="M12" i="11"/>
  <c r="L18" i="11"/>
  <c r="M19" i="11"/>
  <c r="L10" i="11"/>
  <c r="N7" i="11"/>
  <c r="F3" i="4" s="1"/>
  <c r="BF7" i="12" l="1"/>
  <c r="BB5" i="12"/>
  <c r="F5" i="4"/>
  <c r="F7" i="4" s="1"/>
  <c r="F10" i="6"/>
  <c r="I9" i="2" s="1"/>
  <c r="H9" i="11"/>
  <c r="H46" i="11" s="1"/>
  <c r="BC3" i="12"/>
  <c r="BC4" i="12" s="1"/>
  <c r="BC5" i="12" s="1"/>
  <c r="L59" i="11"/>
  <c r="BG6" i="12"/>
  <c r="L14" i="11"/>
  <c r="N10" i="11"/>
  <c r="N19" i="11"/>
  <c r="M20" i="11"/>
  <c r="L20" i="11"/>
  <c r="N18" i="11"/>
  <c r="N12" i="11"/>
  <c r="M14" i="11"/>
  <c r="F11" i="6" l="1"/>
  <c r="I10" i="2" s="1"/>
  <c r="F11" i="4"/>
  <c r="BG7" i="12"/>
  <c r="F2" i="6"/>
  <c r="I2" i="2" s="1"/>
  <c r="M59" i="11"/>
  <c r="BI6" i="12" s="1"/>
  <c r="BH6" i="12"/>
  <c r="I9" i="11"/>
  <c r="I46" i="11" s="1"/>
  <c r="BD3" i="12"/>
  <c r="BD4" i="12" s="1"/>
  <c r="BD5" i="12" s="1"/>
  <c r="N20" i="11"/>
  <c r="N14" i="11"/>
  <c r="BI7" i="12" l="1"/>
  <c r="BH7" i="12"/>
  <c r="B18" i="6"/>
  <c r="E17" i="2" s="1"/>
  <c r="F13" i="4"/>
  <c r="F26" i="4" s="1"/>
  <c r="F29" i="4" s="1"/>
  <c r="F12" i="6"/>
  <c r="I11" i="2" s="1"/>
  <c r="J9" i="11"/>
  <c r="J46" i="11" s="1"/>
  <c r="BE3" i="12"/>
  <c r="BE4" i="12" s="1"/>
  <c r="BE5" i="12" s="1"/>
  <c r="F13" i="6" l="1"/>
  <c r="I12" i="2" s="1"/>
  <c r="F5" i="6"/>
  <c r="I5" i="2" s="1"/>
  <c r="F3" i="6"/>
  <c r="I3" i="2" s="1"/>
  <c r="K9" i="11"/>
  <c r="K46" i="11" s="1"/>
  <c r="BF3" i="12"/>
  <c r="BF4" i="12" s="1"/>
  <c r="BF5" i="12" l="1"/>
  <c r="L9" i="11"/>
  <c r="L46" i="11" s="1"/>
  <c r="BG3" i="12"/>
  <c r="BG4" i="12" s="1"/>
  <c r="BG5" i="12" l="1"/>
  <c r="M9" i="11"/>
  <c r="M46" i="11" s="1"/>
  <c r="F19" i="4" s="1"/>
  <c r="BH3" i="12"/>
  <c r="BH4" i="12" s="1"/>
  <c r="BH5" i="12" l="1"/>
  <c r="BI3" i="12"/>
  <c r="BI4" i="12" s="1"/>
  <c r="BI5" i="12" s="1"/>
  <c r="B19" i="6" s="1"/>
  <c r="E18" i="2" s="1"/>
  <c r="F15" i="6" l="1"/>
  <c r="I14" i="2" s="1"/>
  <c r="F33" i="4"/>
  <c r="E19" i="6" s="1"/>
  <c r="F24" i="4"/>
  <c r="F4" i="6"/>
  <c r="I4" i="2" s="1"/>
  <c r="E21" i="6" l="1"/>
  <c r="H18" i="2"/>
  <c r="F16" i="6"/>
  <c r="I15" i="2" s="1"/>
  <c r="F31" i="4"/>
  <c r="E18" i="6" s="1"/>
  <c r="H17" i="2" s="1"/>
  <c r="E23" i="6" l="1"/>
  <c r="H22" i="2" s="1"/>
  <c r="H20" i="2"/>
</calcChain>
</file>

<file path=xl/sharedStrings.xml><?xml version="1.0" encoding="utf-8"?>
<sst xmlns="http://schemas.openxmlformats.org/spreadsheetml/2006/main" count="387" uniqueCount="156">
  <si>
    <t>Year 1</t>
  </si>
  <si>
    <t>Year 2</t>
  </si>
  <si>
    <t>Year 3</t>
  </si>
  <si>
    <t>Year 4</t>
  </si>
  <si>
    <t>Year 5</t>
  </si>
  <si>
    <t>Gross Margin</t>
  </si>
  <si>
    <t>Net Margin</t>
  </si>
  <si>
    <t>Quick Ratio</t>
  </si>
  <si>
    <t>EBITDA</t>
  </si>
  <si>
    <t xml:space="preserve"> </t>
  </si>
  <si>
    <t>Customers</t>
  </si>
  <si>
    <t>Market Share %</t>
  </si>
  <si>
    <t>Operational Break Even</t>
  </si>
  <si>
    <t>Worth &gt;</t>
  </si>
  <si>
    <t>Cash Break Even</t>
  </si>
  <si>
    <t>Buyout</t>
  </si>
  <si>
    <t>Investment Required</t>
  </si>
  <si>
    <t>Investor ROI %</t>
  </si>
  <si>
    <t>Average Sale per Customer</t>
  </si>
  <si>
    <t>Base Number of Customers per Month</t>
  </si>
  <si>
    <t>Potential Customers per Month</t>
  </si>
  <si>
    <t>Customer Growth per month</t>
  </si>
  <si>
    <t>Revenue Payments</t>
  </si>
  <si>
    <t>Cash</t>
  </si>
  <si>
    <t>1 Week Credit (Credit Card)</t>
  </si>
  <si>
    <t>1 Month Credit (Invoice)</t>
  </si>
  <si>
    <t>Cost of Revenue</t>
  </si>
  <si>
    <t>1 Month Supplier Credit</t>
  </si>
  <si>
    <t>Investor Return</t>
  </si>
  <si>
    <t>Founder Profit %</t>
  </si>
  <si>
    <t>Asset</t>
  </si>
  <si>
    <t>Expense</t>
  </si>
  <si>
    <t>Contracts, Terms, GPDR</t>
  </si>
  <si>
    <t>Stationery, etc.</t>
  </si>
  <si>
    <t>Brochures</t>
  </si>
  <si>
    <t>Consultants</t>
  </si>
  <si>
    <t>Insurance</t>
  </si>
  <si>
    <t>Rent</t>
  </si>
  <si>
    <t>R &amp; D Design</t>
  </si>
  <si>
    <t>R &amp; D Maintenance</t>
  </si>
  <si>
    <t>Computer Equpment</t>
  </si>
  <si>
    <t>Staff</t>
  </si>
  <si>
    <t>Communications Hardware</t>
  </si>
  <si>
    <t>Communications Contracts</t>
  </si>
  <si>
    <t>Furniture</t>
  </si>
  <si>
    <t>Incorporation Fees</t>
  </si>
  <si>
    <t>Website Design</t>
  </si>
  <si>
    <t>Website Maintenance</t>
  </si>
  <si>
    <t>Travel</t>
  </si>
  <si>
    <t>Buildings</t>
  </si>
  <si>
    <t>Vehicles</t>
  </si>
  <si>
    <t>Marketing</t>
  </si>
  <si>
    <t>Total</t>
  </si>
  <si>
    <t>Preopening Period?</t>
  </si>
  <si>
    <t>Working Capital Required</t>
  </si>
  <si>
    <t>Investment Total</t>
  </si>
  <si>
    <t>Pre-Opening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</si>
  <si>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</si>
  <si>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</si>
  <si>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</si>
  <si>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</si>
  <si>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</si>
  <si>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</si>
  <si>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</si>
  <si>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</si>
  <si>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</si>
  <si>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</si>
  <si>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</si>
  <si>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</si>
  <si>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Revenue Calculations</t>
  </si>
  <si>
    <t>Average Sale</t>
  </si>
  <si>
    <t>Customer Growth Factor</t>
  </si>
  <si>
    <t>Seasonality Index</t>
  </si>
  <si>
    <t>Revenue</t>
  </si>
  <si>
    <t>Debtors</t>
  </si>
  <si>
    <t>Opening Cash</t>
  </si>
  <si>
    <t>Revenue (this month)</t>
  </si>
  <si>
    <t>Revenue (1 Week Credit) (this month)</t>
  </si>
  <si>
    <t>Revenue (1 Week Credit) (last month)</t>
  </si>
  <si>
    <t>Revenue (1 Month Credit)</t>
  </si>
  <si>
    <t>Total Revenue Cash In</t>
  </si>
  <si>
    <t>Investment Received</t>
  </si>
  <si>
    <t>Cost of Revenue (this month)</t>
  </si>
  <si>
    <t>Cost of Revenue (1 month supplier credit)</t>
  </si>
  <si>
    <t>Total Cost of Revenue Cash Out</t>
  </si>
  <si>
    <t>Creditors</t>
  </si>
  <si>
    <t>Communications</t>
  </si>
  <si>
    <t>Vehicle Rental</t>
  </si>
  <si>
    <t>Total Expenses Cash Out</t>
  </si>
  <si>
    <t>Total Assets Cash Out</t>
  </si>
  <si>
    <t>Closing Cash</t>
  </si>
  <si>
    <t>Gross Profit</t>
  </si>
  <si>
    <t>Expenses</t>
  </si>
  <si>
    <t>Net Profit</t>
  </si>
  <si>
    <t>Cumulative Net Profit</t>
  </si>
  <si>
    <t>Income Statement</t>
  </si>
  <si>
    <t>Founder Profit Share</t>
  </si>
  <si>
    <t>Balance Sheet</t>
  </si>
  <si>
    <t>Assets</t>
  </si>
  <si>
    <t>Net Worth</t>
  </si>
  <si>
    <t>Profit</t>
  </si>
  <si>
    <t>Retained Profit</t>
  </si>
  <si>
    <t>Investment</t>
  </si>
  <si>
    <t>Company Worth &gt; Investment</t>
  </si>
  <si>
    <t>Investor Buyout</t>
  </si>
  <si>
    <t>Investor Buyout Cost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</si>
  <si>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</si>
  <si>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</si>
  <si>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</si>
  <si>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</si>
  <si>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</si>
  <si>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</si>
  <si>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</si>
  <si>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</si>
  <si>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</si>
  <si>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</si>
  <si>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</si>
  <si>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</si>
  <si>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</si>
  <si>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</si>
  <si>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</si>
  <si>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</si>
  <si>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</si>
  <si>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</si>
  <si>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</si>
  <si>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</si>
  <si>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</si>
  <si>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</si>
  <si>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</si>
  <si>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</si>
  <si>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t>Month 37</t>
  </si>
  <si>
    <t>Month 38</t>
  </si>
  <si>
    <t>Month 39</t>
  </si>
  <si>
    <t>Month 40</t>
  </si>
  <si>
    <t>Month 41</t>
  </si>
  <si>
    <t>Month 42</t>
  </si>
  <si>
    <t>Month 43</t>
  </si>
  <si>
    <t>Month 44</t>
  </si>
  <si>
    <t>Month 45</t>
  </si>
  <si>
    <t>Month 46</t>
  </si>
  <si>
    <t>Month 47</t>
  </si>
  <si>
    <t>Month 48</t>
  </si>
  <si>
    <t>Month 49</t>
  </si>
  <si>
    <t>Month 50</t>
  </si>
  <si>
    <t>Month 51</t>
  </si>
  <si>
    <t>Month 52</t>
  </si>
  <si>
    <t>Month 53</t>
  </si>
  <si>
    <t>Month 54</t>
  </si>
  <si>
    <t>Month 55</t>
  </si>
  <si>
    <t>Month 56</t>
  </si>
  <si>
    <t>Month 57</t>
  </si>
  <si>
    <t>Month 58</t>
  </si>
  <si>
    <t>Month 59</t>
  </si>
  <si>
    <t>Month 60</t>
  </si>
  <si>
    <t>Closing Cash Balance</t>
  </si>
  <si>
    <t>Cash less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</si>
</sst>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 * #,##0.00_ ;_ * \-#,##0.00_ ;_ * &quot;-&quot;??_ ;_ @_ "/>
    <numFmt numFmtId="166" formatCode="_ * #,##0_ ;_ * \-#,##0_ ;_ * &quot;-&quot;??_ ;_ @_ "/>
    <numFmt numFmtId="167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9" fontId="0" fillId="0" borderId="0" xfId="0" applyNumberFormat="1"/>
    <xf numFmtId="166" fontId="0" fillId="0" borderId="0" xfId="1" applyNumberFormat="1" applyFont="1"/>
    <xf numFmtId="166" fontId="0" fillId="0" borderId="0" xfId="0" applyNumberFormat="1"/>
    <xf numFmtId="0" fontId="0" fillId="0" borderId="1" xfId="0" applyBorder="1"/>
    <xf numFmtId="166" fontId="0" fillId="0" borderId="1" xfId="1" applyNumberFormat="1" applyFont="1" applyBorder="1"/>
    <xf numFmtId="166" fontId="0" fillId="0" borderId="0" xfId="1" applyNumberFormat="1" applyFont="1" applyBorder="1"/>
    <xf numFmtId="9" fontId="0" fillId="0" borderId="0" xfId="2" applyFont="1"/>
    <xf numFmtId="10" fontId="0" fillId="0" borderId="0" xfId="2" applyNumberFormat="1" applyFont="1"/>
    <xf numFmtId="0" fontId="2" fillId="0" borderId="0" xfId="0" applyFont="1" applyAlignment="1">
      <alignment vertical="center"/>
    </xf>
    <xf numFmtId="164" fontId="0" fillId="0" borderId="0" xfId="1" applyNumberFormat="1" applyFont="1"/>
    <xf numFmtId="166" fontId="0" fillId="0" borderId="0" xfId="1" applyNumberFormat="1" applyFont="1" applyFill="1" applyBorder="1"/>
    <xf numFmtId="0" fontId="0" fillId="0" borderId="0" xfId="0" applyAlignment="1">
      <alignment horizontal="right" vertical="center"/>
    </xf>
    <xf numFmtId="164" fontId="0" fillId="0" borderId="0" xfId="0" applyNumberFormat="1"/>
    <xf numFmtId="166" fontId="0" fillId="2" borderId="1" xfId="1" applyNumberFormat="1" applyFont="1" applyFill="1" applyBorder="1"/>
    <xf numFmtId="0" fontId="0" fillId="2" borderId="1" xfId="0" applyFill="1" applyBorder="1"/>
    <xf numFmtId="166" fontId="0" fillId="2" borderId="0" xfId="1" applyNumberFormat="1" applyFont="1" applyFill="1"/>
    <xf numFmtId="9" fontId="0" fillId="2" borderId="0" xfId="0" applyNumberFormat="1" applyFill="1"/>
    <xf numFmtId="9" fontId="0" fillId="2" borderId="0" xfId="2" applyFont="1" applyFill="1"/>
    <xf numFmtId="166" fontId="0" fillId="0" borderId="0" xfId="0" applyNumberFormat="1" applyAlignment="1">
      <alignment horizontal="right" vertical="center"/>
    </xf>
    <xf numFmtId="0" fontId="0" fillId="0" borderId="0" xfId="0" applyAlignment="1">
      <alignment vertical="center"/>
    </xf>
    <xf numFmtId="166" fontId="0" fillId="0" borderId="0" xfId="1" applyNumberFormat="1" applyFont="1" applyAlignment="1">
      <alignment vertical="center"/>
    </xf>
    <xf numFmtId="167" fontId="0" fillId="0" borderId="0" xfId="2" applyNumberFormat="1" applyFont="1"/>
    <xf numFmtId="166" fontId="0" fillId="0" borderId="1" xfId="1" applyNumberFormat="1" applyFont="1" applyFill="1" applyBorder="1"/>
    <xf numFmtId="10" fontId="0" fillId="3" borderId="0" xfId="2" applyNumberFormat="1" applyFont="1" applyFill="1"/>
    <xf numFmtId="166" fontId="0" fillId="3" borderId="0" xfId="1" applyNumberFormat="1" applyFont="1" applyFill="1"/>
    <xf numFmtId="0" fontId="2" fillId="0" borderId="0" xfId="0" applyFont="1"/>
    <xf numFmtId="165" fontId="0" fillId="2" borderId="0" xfId="1" applyFont="1" applyFill="1"/>
    <xf numFmtId="0" fontId="0" fillId="0" borderId="0" xfId="0" applyAlignment="1">
      <alignment horizontal="center"/>
    </xf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</a:t>
            </a:r>
            <a:r>
              <a:rPr lang="en-US" baseline="0"/>
              <a:t> Net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Balances!$B$6:$BI$6</c:f>
              <c:numCache>
                <c:formatCode>_ * #,##0_ ;_ * \-#,##0_ ;_ * "-"??_ ;_ @_ </c:formatCode>
                <c:ptCount val="60"/>
                <c:pt idx="0">
                  <c:v>-99762.5</c:v>
                </c:pt>
                <c:pt idx="1">
                  <c:v>-94492.5</c:v>
                </c:pt>
                <c:pt idx="2">
                  <c:v>-89190</c:v>
                </c:pt>
                <c:pt idx="3">
                  <c:v>-83887.5</c:v>
                </c:pt>
                <c:pt idx="4">
                  <c:v>-78552.5</c:v>
                </c:pt>
                <c:pt idx="5">
                  <c:v>-73185</c:v>
                </c:pt>
                <c:pt idx="6">
                  <c:v>-67785</c:v>
                </c:pt>
                <c:pt idx="7">
                  <c:v>-62352.5</c:v>
                </c:pt>
                <c:pt idx="8">
                  <c:v>-56887.5</c:v>
                </c:pt>
                <c:pt idx="9">
                  <c:v>-51390</c:v>
                </c:pt>
                <c:pt idx="10">
                  <c:v>-45860</c:v>
                </c:pt>
                <c:pt idx="11">
                  <c:v>-40265</c:v>
                </c:pt>
                <c:pt idx="12">
                  <c:v>-34637.5</c:v>
                </c:pt>
                <c:pt idx="13">
                  <c:v>-28977.5</c:v>
                </c:pt>
                <c:pt idx="14">
                  <c:v>-23252.5</c:v>
                </c:pt>
                <c:pt idx="15">
                  <c:v>-17495</c:v>
                </c:pt>
                <c:pt idx="16">
                  <c:v>-11672.5</c:v>
                </c:pt>
                <c:pt idx="17">
                  <c:v>-5817.5</c:v>
                </c:pt>
                <c:pt idx="18">
                  <c:v>102.5</c:v>
                </c:pt>
                <c:pt idx="19">
                  <c:v>6087.5</c:v>
                </c:pt>
                <c:pt idx="20">
                  <c:v>12137.5</c:v>
                </c:pt>
                <c:pt idx="21">
                  <c:v>18252.5</c:v>
                </c:pt>
                <c:pt idx="22">
                  <c:v>24432.5</c:v>
                </c:pt>
                <c:pt idx="23">
                  <c:v>30677.5</c:v>
                </c:pt>
                <c:pt idx="24">
                  <c:v>36987.5</c:v>
                </c:pt>
                <c:pt idx="25">
                  <c:v>43395</c:v>
                </c:pt>
                <c:pt idx="26">
                  <c:v>49867.5</c:v>
                </c:pt>
                <c:pt idx="27">
                  <c:v>56437.5</c:v>
                </c:pt>
                <c:pt idx="28">
                  <c:v>63105</c:v>
                </c:pt>
                <c:pt idx="29">
                  <c:v>69870</c:v>
                </c:pt>
                <c:pt idx="30">
                  <c:v>76732.5</c:v>
                </c:pt>
                <c:pt idx="31">
                  <c:v>83692.5</c:v>
                </c:pt>
                <c:pt idx="32">
                  <c:v>90750</c:v>
                </c:pt>
                <c:pt idx="33">
                  <c:v>97937.5</c:v>
                </c:pt>
                <c:pt idx="34">
                  <c:v>105255</c:v>
                </c:pt>
                <c:pt idx="35">
                  <c:v>112702.5</c:v>
                </c:pt>
                <c:pt idx="36">
                  <c:v>120280</c:v>
                </c:pt>
                <c:pt idx="37">
                  <c:v>127987.5</c:v>
                </c:pt>
                <c:pt idx="38">
                  <c:v>135857.5</c:v>
                </c:pt>
                <c:pt idx="39">
                  <c:v>143890</c:v>
                </c:pt>
                <c:pt idx="40">
                  <c:v>152085</c:v>
                </c:pt>
                <c:pt idx="41">
                  <c:v>160442.5</c:v>
                </c:pt>
                <c:pt idx="42">
                  <c:v>168962.5</c:v>
                </c:pt>
                <c:pt idx="43">
                  <c:v>177677.5</c:v>
                </c:pt>
                <c:pt idx="44">
                  <c:v>186587.5</c:v>
                </c:pt>
                <c:pt idx="45">
                  <c:v>195725</c:v>
                </c:pt>
                <c:pt idx="46">
                  <c:v>205090</c:v>
                </c:pt>
                <c:pt idx="47">
                  <c:v>214682.5</c:v>
                </c:pt>
                <c:pt idx="48">
                  <c:v>224502.5</c:v>
                </c:pt>
                <c:pt idx="49">
                  <c:v>234582.5</c:v>
                </c:pt>
                <c:pt idx="50">
                  <c:v>244922.5</c:v>
                </c:pt>
                <c:pt idx="51">
                  <c:v>255555</c:v>
                </c:pt>
                <c:pt idx="52">
                  <c:v>266480</c:v>
                </c:pt>
                <c:pt idx="53">
                  <c:v>277697.5</c:v>
                </c:pt>
                <c:pt idx="54">
                  <c:v>289240</c:v>
                </c:pt>
                <c:pt idx="55">
                  <c:v>301140</c:v>
                </c:pt>
                <c:pt idx="56">
                  <c:v>313397.5</c:v>
                </c:pt>
                <c:pt idx="57">
                  <c:v>326012.5</c:v>
                </c:pt>
                <c:pt idx="58">
                  <c:v>339017.5</c:v>
                </c:pt>
                <c:pt idx="59">
                  <c:v>352445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DB-DB4A-B5C8-EEDAC2452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0609664"/>
        <c:axId val="220713088"/>
      </c:lineChart>
      <c:catAx>
        <c:axId val="2206096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713088"/>
        <c:crosses val="autoZero"/>
        <c:auto val="1"/>
        <c:lblAlgn val="ctr"/>
        <c:lblOffset val="100"/>
        <c:noMultiLvlLbl val="0"/>
      </c:catAx>
      <c:valAx>
        <c:axId val="22071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609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419100</xdr:colOff>
      <xdr:row>35</xdr:row>
      <xdr:rowOff>120650</xdr:rowOff>
    </xdr:from>
    <xdr:to>
      <xdr:col>53</xdr:col>
      <xdr:colOff>38100</xdr:colOff>
      <xdr:row>49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F28EC9-1762-1243-AFA1-E062F9D51A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F6EA1-CA2E-F64D-B92A-F98901662B70}">
  <dimension ref="A1:I23"/>
  <sheetViews>
    <sheetView tabSelected="1" zoomScale="125" zoomScaleNormal="125" workbookViewId="0">
      <selection activeCell="F9" sqref="F9"/>
    </sheetView>
  </sheetViews>
  <sheetFormatPr baseColWidth="10" defaultColWidth="11" defaultRowHeight="15.5" x14ac:dyDescent="0.35"/>
  <cols>
    <col min="1" max="1" width="20.5" bestFit="1" customWidth="1"/>
    <col min="2" max="3" width="11.08203125" bestFit="1" customWidth="1"/>
    <col min="4" max="4" width="12.33203125" customWidth="1"/>
    <col min="5" max="6" width="11.08203125" bestFit="1" customWidth="1"/>
  </cols>
  <sheetData>
    <row r="1" spans="1:9" x14ac:dyDescent="0.35"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</row>
    <row r="2" spans="1:9" x14ac:dyDescent="0.35">
      <c r="A2" t="s">
        <v>5</v>
      </c>
      <c r="B2" s="7">
        <f>'Financial Statements'!B7/'Financial Statements'!B3</f>
        <v>0.65</v>
      </c>
      <c r="C2" s="7">
        <f>'Financial Statements'!C7/'Financial Statements'!C3</f>
        <v>0.65</v>
      </c>
      <c r="D2" s="7">
        <f>'Financial Statements'!D7/'Financial Statements'!D3</f>
        <v>0.65</v>
      </c>
      <c r="E2" s="7">
        <f>'Financial Statements'!E7/'Financial Statements'!E3</f>
        <v>0.65</v>
      </c>
      <c r="F2" s="7">
        <f>'Financial Statements'!F7/'Financial Statements'!F3</f>
        <v>0.65</v>
      </c>
    </row>
    <row r="3" spans="1:9" x14ac:dyDescent="0.35">
      <c r="A3" t="s">
        <v>6</v>
      </c>
      <c r="B3" s="8">
        <f>'Financial Statements'!B13/'Financial Statements'!B3</f>
        <v>-0.20982282438770192</v>
      </c>
      <c r="C3" s="8">
        <f>'Financial Statements'!C13/'Financial Statements'!C3</f>
        <v>0.28172747580044677</v>
      </c>
      <c r="D3" s="8">
        <f>'Financial Statements'!D13/'Financial Statements'!D3</f>
        <v>0.30032036613272312</v>
      </c>
      <c r="E3" s="8">
        <f>'Financial Statements'!E13/'Financial Statements'!E3</f>
        <v>0.32738362760834672</v>
      </c>
      <c r="F3" s="8">
        <f>'Financial Statements'!F13/'Financial Statements'!F3</f>
        <v>0.36223500410846343</v>
      </c>
    </row>
    <row r="4" spans="1:9" x14ac:dyDescent="0.35">
      <c r="A4" t="s">
        <v>7</v>
      </c>
      <c r="B4" s="2">
        <f>'Financial Statements'!B19/'Financial Statements'!B22</f>
        <v>23.902716914986854</v>
      </c>
      <c r="C4" s="2">
        <f>'Financial Statements'!C19/'Financial Statements'!C22</f>
        <v>31.910652353426919</v>
      </c>
      <c r="D4" s="2">
        <f>'Financial Statements'!D19/'Financial Statements'!D22</f>
        <v>38.645878403580753</v>
      </c>
      <c r="E4" s="2">
        <f>'Financial Statements'!E19/'Financial Statements'!E22</f>
        <v>43.390136811963096</v>
      </c>
      <c r="F4" s="2">
        <f>'Financial Statements'!F19/'Financial Statements'!F22</f>
        <v>45.526631393298061</v>
      </c>
    </row>
    <row r="5" spans="1:9" x14ac:dyDescent="0.35">
      <c r="A5" t="s">
        <v>8</v>
      </c>
      <c r="B5" s="2">
        <f>'Financial Statements'!B13</f>
        <v>-40265</v>
      </c>
      <c r="C5" s="2">
        <f>'Financial Statements'!C13</f>
        <v>56754</v>
      </c>
      <c r="D5" s="2">
        <f>'Financial Statements'!D13</f>
        <v>65620</v>
      </c>
      <c r="E5" s="2">
        <f>'Financial Statements'!E13</f>
        <v>81584</v>
      </c>
      <c r="F5" s="2">
        <f>'Financial Statements'!F13</f>
        <v>110210</v>
      </c>
      <c r="I5" t="s">
        <v>9</v>
      </c>
    </row>
    <row r="7" spans="1:9" x14ac:dyDescent="0.35">
      <c r="A7" t="s">
        <v>10</v>
      </c>
      <c r="B7" s="2">
        <f>'Year 1 Cash Budget'!O4</f>
        <v>3838</v>
      </c>
      <c r="C7" s="2">
        <f>'Year 2 Cash Budget'!N4</f>
        <v>4029</v>
      </c>
      <c r="D7" s="2">
        <f>'Year 3 Cash Budget'!N4</f>
        <v>4370</v>
      </c>
      <c r="E7" s="2">
        <f>'Year 4 Cash Budget'!N4</f>
        <v>4984</v>
      </c>
      <c r="F7" s="2">
        <f>'Year 5 Cash Budget'!N4</f>
        <v>6085</v>
      </c>
    </row>
    <row r="8" spans="1:9" x14ac:dyDescent="0.35">
      <c r="A8" t="s">
        <v>11</v>
      </c>
      <c r="B8" s="8">
        <f>B7/('Control Panel'!$B$3*12)</f>
        <v>3.1983333333333336E-2</v>
      </c>
      <c r="C8" s="8">
        <f>C7/('Control Panel'!$B$3*12)</f>
        <v>3.3575000000000001E-2</v>
      </c>
      <c r="D8" s="8">
        <f>D7/('Control Panel'!$B$3*12)</f>
        <v>3.6416666666666667E-2</v>
      </c>
      <c r="E8" s="8">
        <f>E7/('Control Panel'!$B$3*12)</f>
        <v>4.1533333333333332E-2</v>
      </c>
      <c r="F8" s="8">
        <f>F7/('Control Panel'!$B$3*12)</f>
        <v>5.0708333333333334E-2</v>
      </c>
    </row>
    <row r="9" spans="1:9" x14ac:dyDescent="0.35">
      <c r="B9" s="2"/>
      <c r="C9" s="2"/>
      <c r="D9" s="2"/>
      <c r="E9" s="2"/>
      <c r="F9" s="2"/>
    </row>
    <row r="10" spans="1:9" x14ac:dyDescent="0.35">
      <c r="A10" t="str">
        <f>'Financial Statements'!A3</f>
        <v>Revenue</v>
      </c>
      <c r="B10" s="2">
        <f>'Financial Statements'!B3</f>
        <v>191900</v>
      </c>
      <c r="C10" s="2">
        <f>'Financial Statements'!C3</f>
        <v>201450</v>
      </c>
      <c r="D10" s="2">
        <f>'Financial Statements'!D3</f>
        <v>218500</v>
      </c>
      <c r="E10" s="2">
        <f>'Financial Statements'!E3</f>
        <v>249200</v>
      </c>
      <c r="F10" s="2">
        <f>'Financial Statements'!F3</f>
        <v>304250</v>
      </c>
    </row>
    <row r="11" spans="1:9" x14ac:dyDescent="0.35">
      <c r="A11" t="str">
        <f>'Financial Statements'!A7</f>
        <v>Gross Profit</v>
      </c>
      <c r="B11" s="2">
        <f>'Financial Statements'!B7</f>
        <v>124735</v>
      </c>
      <c r="C11" s="2">
        <f>'Financial Statements'!C7</f>
        <v>130942.5</v>
      </c>
      <c r="D11" s="2">
        <f>'Financial Statements'!D7</f>
        <v>142025</v>
      </c>
      <c r="E11" s="2">
        <f>'Financial Statements'!E7</f>
        <v>161980</v>
      </c>
      <c r="F11" s="2">
        <f>'Financial Statements'!F7</f>
        <v>197762.5</v>
      </c>
    </row>
    <row r="12" spans="1:9" x14ac:dyDescent="0.35">
      <c r="A12" t="str">
        <f>'Financial Statements'!A11</f>
        <v>Founder Profit Share</v>
      </c>
      <c r="B12" s="21">
        <f>'Financial Statements'!B11</f>
        <v>0</v>
      </c>
      <c r="C12" s="21">
        <f>'Financial Statements'!C11</f>
        <v>14188.5</v>
      </c>
      <c r="D12" s="21">
        <f>'Financial Statements'!D11</f>
        <v>16405</v>
      </c>
      <c r="E12" s="21">
        <f>'Financial Statements'!E11</f>
        <v>20396</v>
      </c>
      <c r="F12" s="21">
        <f>'Financial Statements'!F11</f>
        <v>27552.5</v>
      </c>
    </row>
    <row r="13" spans="1:9" x14ac:dyDescent="0.35">
      <c r="A13" t="str">
        <f>'Financial Statements'!A13</f>
        <v>Net Profit</v>
      </c>
      <c r="B13" s="2">
        <f>'Financial Statements'!B13</f>
        <v>-40265</v>
      </c>
      <c r="C13" s="2">
        <f>'Financial Statements'!C13</f>
        <v>56754</v>
      </c>
      <c r="D13" s="2">
        <f>'Financial Statements'!D13</f>
        <v>65620</v>
      </c>
      <c r="E13" s="2">
        <f>'Financial Statements'!E13</f>
        <v>81584</v>
      </c>
      <c r="F13" s="2">
        <f>'Financial Statements'!F13</f>
        <v>110210</v>
      </c>
    </row>
    <row r="14" spans="1:9" x14ac:dyDescent="0.35">
      <c r="B14" s="2"/>
      <c r="C14" s="2"/>
      <c r="D14" s="2"/>
      <c r="E14" s="2"/>
      <c r="F14" s="2"/>
    </row>
    <row r="15" spans="1:9" x14ac:dyDescent="0.35">
      <c r="A15" t="str">
        <f>'Financial Statements'!A19</f>
        <v>Cash</v>
      </c>
      <c r="B15" s="2">
        <f>'Financial Statements'!B19</f>
        <v>136365</v>
      </c>
      <c r="C15" s="2">
        <f>'Financial Statements'!C19</f>
        <v>193219</v>
      </c>
      <c r="D15" s="2">
        <f>'Financial Statements'!D19</f>
        <v>259024</v>
      </c>
      <c r="E15" s="2">
        <f>'Financial Statements'!E19</f>
        <v>340938</v>
      </c>
      <c r="F15" s="2">
        <f>'Financial Statements'!F19</f>
        <v>451738</v>
      </c>
    </row>
    <row r="16" spans="1:9" x14ac:dyDescent="0.35">
      <c r="A16" t="str">
        <f>'Financial Statements'!A24</f>
        <v>Net Worth</v>
      </c>
      <c r="B16" s="2">
        <f>'Financial Statements'!B24</f>
        <v>144735</v>
      </c>
      <c r="C16" s="2">
        <f>'Financial Statements'!C24</f>
        <v>201489</v>
      </c>
      <c r="D16" s="2">
        <f>'Financial Statements'!D24</f>
        <v>267109</v>
      </c>
      <c r="E16" s="2">
        <f>'Financial Statements'!E24</f>
        <v>348693</v>
      </c>
      <c r="F16" s="2">
        <f>'Financial Statements'!F24</f>
        <v>458903</v>
      </c>
    </row>
    <row r="18" spans="1:5" x14ac:dyDescent="0.35">
      <c r="A18" t="s">
        <v>12</v>
      </c>
      <c r="B18" s="12" t="str">
        <f>IF(ISNA(HLOOKUP("OBE",Balances!A7:BI8,2,FALSE)),"Never",CONCATENATE("Month ",HLOOKUP("OBE",Balances!A7:BI8,2,FALSE)))</f>
        <v>Month 19</v>
      </c>
      <c r="D18" t="s">
        <v>13</v>
      </c>
      <c r="E18" s="12" t="str">
        <f>IF(ISNA(HLOOKUP("Yes",'Financial Statements'!B31:F34,4,FALSE)),"Never",HLOOKUP("Yes",'Financial Statements'!B31:F34,4,FALSE))</f>
        <v>Year 2</v>
      </c>
    </row>
    <row r="19" spans="1:5" x14ac:dyDescent="0.35">
      <c r="A19" t="s">
        <v>14</v>
      </c>
      <c r="B19" s="12" t="str">
        <f>IF(ISNA(HLOOKUP("CBE",Balances!A5:BI8,4,FALSE)),"Never",CONCATENATE("Month ",HLOOKUP("CBE",Balances!A5:BI8,4,FALSE)))</f>
        <v>Month 21</v>
      </c>
      <c r="D19" t="s">
        <v>15</v>
      </c>
      <c r="E19" s="12" t="str">
        <f>IF(ISNA(HLOOKUP("Yes",'Financial Statements'!B33:F34,2,FALSE)),"Never",HLOOKUP("Yes",'Financial Statements'!B33:F34,2,FALSE))</f>
        <v>Year 4</v>
      </c>
    </row>
    <row r="21" spans="1:5" x14ac:dyDescent="0.35">
      <c r="A21" t="s">
        <v>16</v>
      </c>
      <c r="B21" s="2">
        <f>'Startup &amp; Pre-Opening Costs'!B29</f>
        <v>185000</v>
      </c>
      <c r="D21" t="s">
        <v>15</v>
      </c>
      <c r="E21" s="2">
        <f>IF(E19="Never","N/A",HLOOKUP(E19,'Financial Statements'!B34:F35,2,FALSE))</f>
        <v>273800</v>
      </c>
    </row>
    <row r="23" spans="1:5" x14ac:dyDescent="0.35">
      <c r="A23" t="s">
        <v>11</v>
      </c>
      <c r="B23" s="8">
        <f>'Control Panel'!B2/'Control Panel'!B3</f>
        <v>0.03</v>
      </c>
      <c r="D23" t="s">
        <v>17</v>
      </c>
      <c r="E23" s="7">
        <f>(E21-B21)/B21</f>
        <v>0.48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33FB9-74E1-4744-8374-557408EE5464}">
  <dimension ref="A1:O49"/>
  <sheetViews>
    <sheetView workbookViewId="0">
      <selection activeCell="A14" sqref="A14"/>
    </sheetView>
  </sheetViews>
  <sheetFormatPr baseColWidth="10" defaultColWidth="11" defaultRowHeight="15.5" x14ac:dyDescent="0.35"/>
  <cols>
    <col min="1" max="1" width="33.33203125" bestFit="1" customWidth="1"/>
    <col min="2" max="2" width="8.58203125" bestFit="1" customWidth="1"/>
    <col min="3" max="3" width="9" bestFit="1" customWidth="1"/>
    <col min="4" max="4" width="20.5" bestFit="1" customWidth="1"/>
    <col min="5" max="6" width="11.33203125" bestFit="1" customWidth="1"/>
    <col min="7" max="7" width="13.5" bestFit="1" customWidth="1"/>
    <col min="8" max="9" width="12.58203125" bestFit="1" customWidth="1"/>
    <col min="10" max="13" width="9" bestFit="1" customWidth="1"/>
    <col min="14" max="15" width="8.58203125" bestFit="1" customWidth="1"/>
  </cols>
  <sheetData>
    <row r="1" spans="1:15" x14ac:dyDescent="0.35">
      <c r="A1" t="s">
        <v>18</v>
      </c>
      <c r="B1" s="27">
        <v>50</v>
      </c>
      <c r="E1" s="12" t="str">
        <f>'Performance Dashboard'!B1</f>
        <v>Year 1</v>
      </c>
      <c r="F1" s="12" t="str">
        <f>'Performance Dashboard'!C1</f>
        <v>Year 2</v>
      </c>
      <c r="G1" s="12" t="str">
        <f>'Performance Dashboard'!D1</f>
        <v>Year 3</v>
      </c>
      <c r="H1" s="12" t="str">
        <f>'Performance Dashboard'!E1</f>
        <v>Year 4</v>
      </c>
      <c r="I1" s="12" t="str">
        <f>'Performance Dashboard'!F1</f>
        <v>Year 5</v>
      </c>
    </row>
    <row r="2" spans="1:15" x14ac:dyDescent="0.35">
      <c r="A2" t="s">
        <v>19</v>
      </c>
      <c r="B2" s="16">
        <v>300</v>
      </c>
      <c r="D2" t="str">
        <f>'Performance Dashboard'!A2</f>
        <v>Gross Margin</v>
      </c>
      <c r="E2" s="22">
        <f>'Performance Dashboard'!B2</f>
        <v>0.65</v>
      </c>
      <c r="F2" s="22">
        <f>'Performance Dashboard'!C2</f>
        <v>0.65</v>
      </c>
      <c r="G2" s="22">
        <f>'Performance Dashboard'!D2</f>
        <v>0.65</v>
      </c>
      <c r="H2" s="22">
        <f>'Performance Dashboard'!E2</f>
        <v>0.65</v>
      </c>
      <c r="I2" s="22">
        <f>'Performance Dashboard'!F2</f>
        <v>0.65</v>
      </c>
    </row>
    <row r="3" spans="1:15" x14ac:dyDescent="0.35">
      <c r="A3" t="s">
        <v>20</v>
      </c>
      <c r="B3" s="16">
        <v>10000</v>
      </c>
      <c r="D3" t="str">
        <f>'Performance Dashboard'!A3</f>
        <v>Net Margin</v>
      </c>
      <c r="E3" s="22">
        <f>'Performance Dashboard'!B3</f>
        <v>-0.20982282438770192</v>
      </c>
      <c r="F3" s="22">
        <f>'Performance Dashboard'!C3</f>
        <v>0.28172747580044677</v>
      </c>
      <c r="G3" s="22">
        <f>'Performance Dashboard'!D3</f>
        <v>0.30032036613272312</v>
      </c>
      <c r="H3" s="22">
        <f>'Performance Dashboard'!E3</f>
        <v>0.32738362760834672</v>
      </c>
      <c r="I3" s="22">
        <f>'Performance Dashboard'!F3</f>
        <v>0.36223500410846343</v>
      </c>
    </row>
    <row r="4" spans="1:15" x14ac:dyDescent="0.35">
      <c r="A4" t="s">
        <v>21</v>
      </c>
      <c r="B4" s="17">
        <v>0.05</v>
      </c>
      <c r="D4" t="str">
        <f>'Performance Dashboard'!A4</f>
        <v>Quick Ratio</v>
      </c>
      <c r="E4" s="2">
        <f>'Performance Dashboard'!B4</f>
        <v>23.902716914986854</v>
      </c>
      <c r="F4" s="2">
        <f>'Performance Dashboard'!C4</f>
        <v>31.910652353426919</v>
      </c>
      <c r="G4" s="2">
        <f>'Performance Dashboard'!D4</f>
        <v>38.645878403580753</v>
      </c>
      <c r="H4" s="2">
        <f>'Performance Dashboard'!E4</f>
        <v>43.390136811963096</v>
      </c>
      <c r="I4" s="2">
        <f>'Performance Dashboard'!F4</f>
        <v>45.526631393298061</v>
      </c>
    </row>
    <row r="5" spans="1:15" x14ac:dyDescent="0.35">
      <c r="D5" t="str">
        <f>'Performance Dashboard'!A5</f>
        <v>EBITDA</v>
      </c>
      <c r="E5" s="2">
        <f>'Performance Dashboard'!B5</f>
        <v>-40265</v>
      </c>
      <c r="F5" s="2">
        <f>'Performance Dashboard'!C5</f>
        <v>56754</v>
      </c>
      <c r="G5" s="2">
        <f>'Performance Dashboard'!D5</f>
        <v>65620</v>
      </c>
      <c r="H5" s="2">
        <f>'Performance Dashboard'!E5</f>
        <v>81584</v>
      </c>
      <c r="I5" s="2">
        <f>'Performance Dashboard'!F5</f>
        <v>110210</v>
      </c>
    </row>
    <row r="6" spans="1:15" x14ac:dyDescent="0.35">
      <c r="A6" s="26" t="s">
        <v>22</v>
      </c>
    </row>
    <row r="7" spans="1:15" x14ac:dyDescent="0.35">
      <c r="A7" t="s">
        <v>23</v>
      </c>
      <c r="B7" s="17"/>
      <c r="D7" t="str">
        <f>'Performance Dashboard'!A7</f>
        <v>Customers</v>
      </c>
      <c r="E7" s="2">
        <f>'Performance Dashboard'!B7</f>
        <v>3838</v>
      </c>
      <c r="F7" s="2">
        <f>'Performance Dashboard'!C7</f>
        <v>4029</v>
      </c>
      <c r="G7" s="2">
        <f>'Performance Dashboard'!D7</f>
        <v>4370</v>
      </c>
      <c r="H7" s="2">
        <f>'Performance Dashboard'!E7</f>
        <v>4984</v>
      </c>
      <c r="I7" s="2">
        <f>'Performance Dashboard'!F7</f>
        <v>6085</v>
      </c>
    </row>
    <row r="8" spans="1:15" x14ac:dyDescent="0.35">
      <c r="A8" t="s">
        <v>24</v>
      </c>
      <c r="B8" s="17">
        <v>1</v>
      </c>
    </row>
    <row r="9" spans="1:15" x14ac:dyDescent="0.35">
      <c r="A9" t="s">
        <v>25</v>
      </c>
      <c r="B9" s="17"/>
      <c r="D9" t="str">
        <f>'Performance Dashboard'!A10</f>
        <v>Revenue</v>
      </c>
      <c r="E9" s="2">
        <f>'Performance Dashboard'!B10</f>
        <v>191900</v>
      </c>
      <c r="F9" s="2">
        <f>'Performance Dashboard'!C10</f>
        <v>201450</v>
      </c>
      <c r="G9" s="2">
        <f>'Performance Dashboard'!D10</f>
        <v>218500</v>
      </c>
      <c r="H9" s="2">
        <f>'Performance Dashboard'!E10</f>
        <v>249200</v>
      </c>
      <c r="I9" s="2">
        <f>'Performance Dashboard'!F10</f>
        <v>304250</v>
      </c>
    </row>
    <row r="10" spans="1:15" x14ac:dyDescent="0.35">
      <c r="D10" t="str">
        <f>'Performance Dashboard'!A11</f>
        <v>Gross Profit</v>
      </c>
      <c r="E10" s="2">
        <f>'Performance Dashboard'!B11</f>
        <v>124735</v>
      </c>
      <c r="F10" s="2">
        <f>'Performance Dashboard'!C11</f>
        <v>130942.5</v>
      </c>
      <c r="G10" s="2">
        <f>'Performance Dashboard'!D11</f>
        <v>142025</v>
      </c>
      <c r="H10" s="2">
        <f>'Performance Dashboard'!E11</f>
        <v>161980</v>
      </c>
      <c r="I10" s="2">
        <f>'Performance Dashboard'!F11</f>
        <v>197762.5</v>
      </c>
    </row>
    <row r="11" spans="1:15" x14ac:dyDescent="0.35">
      <c r="A11" t="s">
        <v>26</v>
      </c>
      <c r="B11" s="17">
        <v>0.35</v>
      </c>
      <c r="C11" s="3"/>
      <c r="D11" t="str">
        <f>'Performance Dashboard'!A12</f>
        <v>Founder Profit Share</v>
      </c>
      <c r="E11" s="2">
        <f>'Performance Dashboard'!B12</f>
        <v>0</v>
      </c>
      <c r="F11" s="2">
        <f>'Performance Dashboard'!C12</f>
        <v>14188.5</v>
      </c>
      <c r="G11" s="2">
        <f>'Performance Dashboard'!D12</f>
        <v>16405</v>
      </c>
      <c r="H11" s="2">
        <f>'Performance Dashboard'!E12</f>
        <v>20396</v>
      </c>
      <c r="I11" s="2">
        <f>'Performance Dashboard'!F12</f>
        <v>27552.5</v>
      </c>
      <c r="J11" s="3"/>
      <c r="K11" s="3"/>
      <c r="L11" s="3"/>
      <c r="M11" s="3"/>
      <c r="N11" s="3"/>
      <c r="O11" s="3"/>
    </row>
    <row r="12" spans="1:15" x14ac:dyDescent="0.35">
      <c r="D12" t="str">
        <f>'Performance Dashboard'!A13</f>
        <v>Net Profit</v>
      </c>
      <c r="E12" s="2">
        <f>'Performance Dashboard'!B13</f>
        <v>-40265</v>
      </c>
      <c r="F12" s="2">
        <f>'Performance Dashboard'!C13</f>
        <v>56754</v>
      </c>
      <c r="G12" s="2">
        <f>'Performance Dashboard'!D13</f>
        <v>65620</v>
      </c>
      <c r="H12" s="2">
        <f>'Performance Dashboard'!E13</f>
        <v>81584</v>
      </c>
      <c r="I12" s="2">
        <f>'Performance Dashboard'!F13</f>
        <v>110210</v>
      </c>
    </row>
    <row r="13" spans="1:15" x14ac:dyDescent="0.35">
      <c r="A13" t="s">
        <v>27</v>
      </c>
      <c r="B13" s="17">
        <v>1</v>
      </c>
      <c r="E13" s="2"/>
      <c r="F13" s="2"/>
      <c r="G13" s="2"/>
      <c r="H13" s="2"/>
      <c r="I13" s="2"/>
    </row>
    <row r="14" spans="1:15" x14ac:dyDescent="0.35">
      <c r="D14" t="str">
        <f>'Performance Dashboard'!A15</f>
        <v>Cash</v>
      </c>
      <c r="E14" s="2">
        <f>'Performance Dashboard'!B15</f>
        <v>136365</v>
      </c>
      <c r="F14" s="2">
        <f>'Performance Dashboard'!C15</f>
        <v>193219</v>
      </c>
      <c r="G14" s="2">
        <f>'Performance Dashboard'!D15</f>
        <v>259024</v>
      </c>
      <c r="H14" s="2">
        <f>'Performance Dashboard'!E15</f>
        <v>340938</v>
      </c>
      <c r="I14" s="2">
        <f>'Performance Dashboard'!F15</f>
        <v>451738</v>
      </c>
    </row>
    <row r="15" spans="1:15" x14ac:dyDescent="0.35">
      <c r="A15" t="s">
        <v>28</v>
      </c>
      <c r="B15" s="17">
        <v>0.12</v>
      </c>
      <c r="D15" t="str">
        <f>'Performance Dashboard'!A16</f>
        <v>Net Worth</v>
      </c>
      <c r="E15" s="2">
        <f>'Performance Dashboard'!B16</f>
        <v>144735</v>
      </c>
      <c r="F15" s="2">
        <f>'Performance Dashboard'!C16</f>
        <v>201489</v>
      </c>
      <c r="G15" s="2">
        <f>'Performance Dashboard'!D16</f>
        <v>267109</v>
      </c>
      <c r="H15" s="2">
        <f>'Performance Dashboard'!E16</f>
        <v>348693</v>
      </c>
      <c r="I15" s="2">
        <f>'Performance Dashboard'!F16</f>
        <v>458903</v>
      </c>
    </row>
    <row r="16" spans="1:15" x14ac:dyDescent="0.35">
      <c r="A16" s="20" t="s">
        <v>29</v>
      </c>
      <c r="B16" s="17">
        <v>0.2</v>
      </c>
    </row>
    <row r="17" spans="1:14" x14ac:dyDescent="0.35">
      <c r="D17" t="str">
        <f>'Performance Dashboard'!A18</f>
        <v>Operational Break Even</v>
      </c>
      <c r="E17" t="str">
        <f>'Performance Dashboard'!B18</f>
        <v>Month 19</v>
      </c>
      <c r="G17" t="str">
        <f>'Performance Dashboard'!D18</f>
        <v>Worth &gt;</v>
      </c>
      <c r="H17" t="str">
        <f>'Performance Dashboard'!E18</f>
        <v>Year 2</v>
      </c>
    </row>
    <row r="18" spans="1:14" x14ac:dyDescent="0.35">
      <c r="D18" t="str">
        <f>'Performance Dashboard'!A19</f>
        <v>Cash Break Even</v>
      </c>
      <c r="E18" t="str">
        <f>'Performance Dashboard'!B19</f>
        <v>Month 21</v>
      </c>
      <c r="G18" t="str">
        <f>'Performance Dashboard'!D19</f>
        <v>Buyout</v>
      </c>
      <c r="H18" t="str">
        <f>'Performance Dashboard'!E19</f>
        <v>Year 4</v>
      </c>
      <c r="N18" s="2"/>
    </row>
    <row r="19" spans="1:14" x14ac:dyDescent="0.35">
      <c r="B19" s="1"/>
      <c r="C19" s="1"/>
      <c r="J19" s="1"/>
      <c r="K19" s="1"/>
      <c r="L19" s="1"/>
      <c r="M19" s="1"/>
      <c r="N19" s="2"/>
    </row>
    <row r="20" spans="1:14" x14ac:dyDescent="0.35">
      <c r="B20" s="1"/>
      <c r="C20" s="1"/>
      <c r="D20" t="str">
        <f>'Performance Dashboard'!A21</f>
        <v>Investment Required</v>
      </c>
      <c r="E20" s="2">
        <f>'Performance Dashboard'!B21</f>
        <v>185000</v>
      </c>
      <c r="G20" t="str">
        <f>'Performance Dashboard'!D21</f>
        <v>Buyout</v>
      </c>
      <c r="H20" s="2">
        <f>'Performance Dashboard'!E21</f>
        <v>273800</v>
      </c>
      <c r="J20" s="1"/>
      <c r="K20" s="1"/>
      <c r="L20" s="1"/>
      <c r="M20" s="1"/>
      <c r="N20" s="2"/>
    </row>
    <row r="21" spans="1:14" x14ac:dyDescent="0.35">
      <c r="B21" s="2"/>
      <c r="C21" s="2"/>
      <c r="J21" s="2"/>
      <c r="K21" s="2"/>
      <c r="L21" s="2"/>
      <c r="M21" s="2"/>
      <c r="N21" s="2"/>
    </row>
    <row r="22" spans="1:14" x14ac:dyDescent="0.35">
      <c r="D22" t="str">
        <f>'Performance Dashboard'!A23</f>
        <v>Market Share %</v>
      </c>
      <c r="E22" s="8">
        <f>'Performance Dashboard'!B23</f>
        <v>0.03</v>
      </c>
      <c r="G22" t="str">
        <f>'Performance Dashboard'!D23</f>
        <v>Investor ROI %</v>
      </c>
      <c r="H22" s="7">
        <f>'Performance Dashboard'!E23</f>
        <v>0.48</v>
      </c>
    </row>
    <row r="23" spans="1:14" x14ac:dyDescent="0.35">
      <c r="A23" s="9"/>
    </row>
    <row r="25" spans="1:14" x14ac:dyDescent="0.35">
      <c r="N25" s="2"/>
    </row>
    <row r="26" spans="1:14" x14ac:dyDescent="0.35">
      <c r="B26" s="1"/>
      <c r="C26" s="1"/>
      <c r="J26" s="1"/>
      <c r="K26" s="1"/>
      <c r="L26" s="1"/>
      <c r="M26" s="1"/>
      <c r="N26" s="2"/>
    </row>
    <row r="27" spans="1:14" x14ac:dyDescent="0.35">
      <c r="B27" s="1"/>
      <c r="C27" s="1"/>
      <c r="J27" s="1"/>
      <c r="K27" s="1"/>
      <c r="L27" s="1"/>
      <c r="M27" s="1"/>
      <c r="N27" s="2"/>
    </row>
    <row r="28" spans="1:14" x14ac:dyDescent="0.35">
      <c r="B28" s="2"/>
      <c r="C28" s="2"/>
      <c r="J28" s="2"/>
      <c r="K28" s="2"/>
      <c r="L28" s="2"/>
      <c r="M28" s="2"/>
      <c r="N28" s="2"/>
    </row>
    <row r="30" spans="1:14" x14ac:dyDescent="0.35">
      <c r="A30" s="9"/>
    </row>
    <row r="32" spans="1:14" x14ac:dyDescent="0.35">
      <c r="N32" s="2"/>
    </row>
    <row r="33" spans="1:14" x14ac:dyDescent="0.3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2"/>
    </row>
    <row r="34" spans="1:14" x14ac:dyDescent="0.3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2"/>
    </row>
    <row r="35" spans="1:14" x14ac:dyDescent="0.3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7" spans="1:14" x14ac:dyDescent="0.35">
      <c r="A37" s="9"/>
    </row>
    <row r="39" spans="1:14" x14ac:dyDescent="0.35">
      <c r="N39" s="2"/>
    </row>
    <row r="40" spans="1:14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2"/>
    </row>
    <row r="41" spans="1:14" x14ac:dyDescent="0.3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2"/>
    </row>
    <row r="42" spans="1:14" x14ac:dyDescent="0.3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4" spans="1:14" x14ac:dyDescent="0.35">
      <c r="A44" s="9"/>
    </row>
    <row r="46" spans="1:14" x14ac:dyDescent="0.35">
      <c r="N46" s="2"/>
    </row>
    <row r="47" spans="1:14" x14ac:dyDescent="0.3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2"/>
    </row>
    <row r="48" spans="1:14" x14ac:dyDescent="0.3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2"/>
    </row>
    <row r="49" spans="2:14" x14ac:dyDescent="0.3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49325-B258-C64B-8E1E-8889B752BB29}">
  <dimension ref="A1:C29"/>
  <sheetViews>
    <sheetView topLeftCell="A13" zoomScale="150" zoomScaleNormal="150" workbookViewId="0">
      <selection activeCell="C26" sqref="C26"/>
    </sheetView>
  </sheetViews>
  <sheetFormatPr baseColWidth="10" defaultColWidth="11" defaultRowHeight="15.5" x14ac:dyDescent="0.35"/>
  <cols>
    <col min="1" max="1" width="23.83203125" bestFit="1" customWidth="1"/>
    <col min="2" max="2" width="10.08203125" bestFit="1" customWidth="1"/>
    <col min="3" max="3" width="11.08203125" bestFit="1" customWidth="1"/>
  </cols>
  <sheetData>
    <row r="1" spans="1:3" x14ac:dyDescent="0.35">
      <c r="A1" s="4"/>
      <c r="B1" s="4" t="s">
        <v>30</v>
      </c>
      <c r="C1" s="4" t="s">
        <v>31</v>
      </c>
    </row>
    <row r="2" spans="1:3" x14ac:dyDescent="0.35">
      <c r="A2" s="4" t="s">
        <v>32</v>
      </c>
      <c r="B2" s="23"/>
      <c r="C2" s="14">
        <v>5000</v>
      </c>
    </row>
    <row r="3" spans="1:3" x14ac:dyDescent="0.35">
      <c r="A3" s="4" t="s">
        <v>33</v>
      </c>
      <c r="B3" s="23"/>
      <c r="C3" s="14"/>
    </row>
    <row r="4" spans="1:3" x14ac:dyDescent="0.35">
      <c r="A4" s="4" t="s">
        <v>34</v>
      </c>
      <c r="B4" s="23"/>
      <c r="C4" s="14"/>
    </row>
    <row r="5" spans="1:3" x14ac:dyDescent="0.35">
      <c r="A5" s="4" t="s">
        <v>35</v>
      </c>
      <c r="B5" s="23"/>
      <c r="C5" s="14">
        <v>50000</v>
      </c>
    </row>
    <row r="6" spans="1:3" x14ac:dyDescent="0.35">
      <c r="A6" s="4" t="s">
        <v>36</v>
      </c>
      <c r="B6" s="23"/>
      <c r="C6" s="14"/>
    </row>
    <row r="7" spans="1:3" x14ac:dyDescent="0.35">
      <c r="A7" s="4" t="s">
        <v>37</v>
      </c>
      <c r="B7" s="23"/>
      <c r="C7" s="14"/>
    </row>
    <row r="8" spans="1:3" x14ac:dyDescent="0.35">
      <c r="A8" s="4" t="s">
        <v>38</v>
      </c>
      <c r="B8" s="14"/>
      <c r="C8" s="14">
        <v>50000</v>
      </c>
    </row>
    <row r="9" spans="1:3" x14ac:dyDescent="0.35">
      <c r="A9" s="4" t="s">
        <v>39</v>
      </c>
      <c r="B9" s="23"/>
      <c r="C9" s="14"/>
    </row>
    <row r="10" spans="1:3" x14ac:dyDescent="0.35">
      <c r="A10" s="4" t="s">
        <v>40</v>
      </c>
      <c r="B10" s="14">
        <v>10000</v>
      </c>
      <c r="C10" s="23"/>
    </row>
    <row r="11" spans="1:3" x14ac:dyDescent="0.35">
      <c r="A11" s="4" t="s">
        <v>41</v>
      </c>
      <c r="B11" s="23"/>
      <c r="C11" s="14"/>
    </row>
    <row r="12" spans="1:3" x14ac:dyDescent="0.35">
      <c r="A12" s="4" t="s">
        <v>42</v>
      </c>
      <c r="B12" s="14"/>
      <c r="C12" s="23"/>
    </row>
    <row r="13" spans="1:3" x14ac:dyDescent="0.35">
      <c r="A13" s="4" t="s">
        <v>43</v>
      </c>
      <c r="B13" s="23"/>
      <c r="C13" s="14"/>
    </row>
    <row r="14" spans="1:3" x14ac:dyDescent="0.35">
      <c r="A14" s="4" t="s">
        <v>44</v>
      </c>
      <c r="B14" s="14"/>
      <c r="C14" s="23"/>
    </row>
    <row r="15" spans="1:3" x14ac:dyDescent="0.35">
      <c r="A15" s="4" t="s">
        <v>45</v>
      </c>
      <c r="B15" s="23"/>
      <c r="C15" s="14"/>
    </row>
    <row r="16" spans="1:3" x14ac:dyDescent="0.35">
      <c r="A16" s="4" t="s">
        <v>46</v>
      </c>
      <c r="B16" s="23"/>
      <c r="C16" s="14"/>
    </row>
    <row r="17" spans="1:3" x14ac:dyDescent="0.35">
      <c r="A17" s="4" t="s">
        <v>47</v>
      </c>
      <c r="B17" s="23"/>
      <c r="C17" s="14"/>
    </row>
    <row r="18" spans="1:3" x14ac:dyDescent="0.35">
      <c r="A18" s="4" t="s">
        <v>48</v>
      </c>
      <c r="B18" s="23"/>
      <c r="C18" s="14"/>
    </row>
    <row r="19" spans="1:3" x14ac:dyDescent="0.35">
      <c r="A19" s="4" t="s">
        <v>49</v>
      </c>
      <c r="B19" s="14"/>
      <c r="C19" s="23"/>
    </row>
    <row r="20" spans="1:3" x14ac:dyDescent="0.35">
      <c r="A20" s="4" t="s">
        <v>50</v>
      </c>
      <c r="B20" s="14"/>
      <c r="C20" s="14"/>
    </row>
    <row r="21" spans="1:3" x14ac:dyDescent="0.35">
      <c r="A21" s="4" t="s">
        <v>51</v>
      </c>
      <c r="B21" s="23"/>
      <c r="C21" s="14">
        <v>50000</v>
      </c>
    </row>
    <row r="22" spans="1:3" x14ac:dyDescent="0.35">
      <c r="A22" s="4"/>
      <c r="B22" s="14"/>
      <c r="C22" s="14"/>
    </row>
    <row r="23" spans="1:3" x14ac:dyDescent="0.35">
      <c r="A23" s="4" t="s">
        <v>52</v>
      </c>
      <c r="B23" s="5">
        <f>SUM(B2:B22)</f>
        <v>10000</v>
      </c>
      <c r="C23" s="5">
        <f t="shared" ref="C23" si="0">SUM(C2:C22)</f>
        <v>155000</v>
      </c>
    </row>
    <row r="24" spans="1:3" x14ac:dyDescent="0.35">
      <c r="A24" s="4"/>
      <c r="B24" s="4"/>
      <c r="C24" s="4"/>
    </row>
    <row r="25" spans="1:3" x14ac:dyDescent="0.35">
      <c r="A25" s="4" t="s">
        <v>53</v>
      </c>
      <c r="B25" s="15"/>
      <c r="C25" s="4"/>
    </row>
    <row r="27" spans="1:3" x14ac:dyDescent="0.35">
      <c r="A27" t="s">
        <v>16</v>
      </c>
      <c r="B27" s="3">
        <f>B23+C23</f>
        <v>165000</v>
      </c>
    </row>
    <row r="28" spans="1:3" x14ac:dyDescent="0.35">
      <c r="A28" t="s">
        <v>54</v>
      </c>
      <c r="B28" s="16">
        <v>20000</v>
      </c>
      <c r="C28" t="str">
        <f>IF(MIN('Year 1 Cash Budget'!B46:N46,'Year 2 Cash Budget'!B46:M46,'Year 3 Cash Budget'!B46:M46)&lt;0,CONCATENATE("I suggest an additional ",ROUNDUP(-MIN('Year 1 Cash Budget'!B46:N46,'Year 2 Cash Budget'!B46:M46,'Year 3 Cash Budget'!B46:M46),-4)),"")</f>
        <v/>
      </c>
    </row>
    <row r="29" spans="1:3" x14ac:dyDescent="0.35">
      <c r="A29" t="s">
        <v>55</v>
      </c>
      <c r="B29" s="3">
        <f>SUM(B27:B28)</f>
        <v>185000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3CC82-F7AB-3443-929A-A2D319C77808}">
  <dimension ref="A1:Q59"/>
  <sheetViews>
    <sheetView topLeftCell="A19" zoomScaleNormal="100" workbookViewId="0">
      <selection activeCell="H27" sqref="H27"/>
    </sheetView>
  </sheetViews>
  <sheetFormatPr baseColWidth="10" defaultColWidth="11" defaultRowHeight="15.5" x14ac:dyDescent="0.35"/>
  <cols>
    <col min="1" max="1" width="35.83203125" bestFit="1" customWidth="1"/>
    <col min="2" max="2" width="11.5" bestFit="1" customWidth="1"/>
    <col min="3" max="13" width="11" bestFit="1" customWidth="1"/>
    <col min="14" max="14" width="11.83203125" bestFit="1" customWidth="1"/>
    <col min="15" max="15" width="11.08203125" bestFit="1" customWidth="1"/>
  </cols>
  <sheetData>
    <row r="1" spans="1:17" x14ac:dyDescent="0.35">
      <c r="B1" s="12" t="s">
        <v>56</v>
      </c>
      <c r="C1" s="12" t="s">
        <v>57</v>
      </c>
      <c r="D1" s="12" t="s">
        <v>58</v>
      </c>
      <c r="E1" s="12" t="s">
        <v>59</v>
      </c>
      <c r="F1" s="12" t="s">
        <v>60</v>
      </c>
      <c r="G1" s="12" t="s">
        <v>61</v>
      </c>
      <c r="H1" s="12" t="s">
        <v>62</v>
      </c>
      <c r="I1" s="12" t="s">
        <v>63</v>
      </c>
      <c r="J1" s="12" t="s">
        <v>64</v>
      </c>
      <c r="K1" s="12" t="s">
        <v>65</v>
      </c>
      <c r="L1" s="12" t="s">
        <v>66</v>
      </c>
      <c r="M1" s="12" t="s">
        <v>67</v>
      </c>
      <c r="N1" s="12" t="s">
        <v>68</v>
      </c>
      <c r="O1" s="12" t="s">
        <v>0</v>
      </c>
    </row>
    <row r="2" spans="1:17" x14ac:dyDescent="0.35">
      <c r="A2" s="9" t="s">
        <v>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7" x14ac:dyDescent="0.35">
      <c r="A3" t="s">
        <v>70</v>
      </c>
      <c r="B3" s="2"/>
      <c r="C3" s="2">
        <f>'Control Panel'!$B$1</f>
        <v>50</v>
      </c>
      <c r="D3" s="2">
        <f t="shared" ref="D3:N3" si="0">C3</f>
        <v>50</v>
      </c>
      <c r="E3" s="2">
        <f t="shared" si="0"/>
        <v>50</v>
      </c>
      <c r="F3" s="2">
        <f t="shared" si="0"/>
        <v>50</v>
      </c>
      <c r="G3" s="2">
        <f t="shared" si="0"/>
        <v>50</v>
      </c>
      <c r="H3" s="2">
        <f t="shared" si="0"/>
        <v>50</v>
      </c>
      <c r="I3" s="2">
        <f t="shared" si="0"/>
        <v>50</v>
      </c>
      <c r="J3" s="2">
        <f t="shared" si="0"/>
        <v>50</v>
      </c>
      <c r="K3" s="2">
        <f t="shared" si="0"/>
        <v>50</v>
      </c>
      <c r="L3" s="2">
        <f t="shared" si="0"/>
        <v>50</v>
      </c>
      <c r="M3" s="2">
        <f t="shared" si="0"/>
        <v>50</v>
      </c>
      <c r="N3" s="2">
        <f t="shared" si="0"/>
        <v>50</v>
      </c>
      <c r="O3" s="2"/>
    </row>
    <row r="4" spans="1:17" x14ac:dyDescent="0.35">
      <c r="A4" t="s">
        <v>10</v>
      </c>
      <c r="B4" s="2"/>
      <c r="C4" s="2">
        <f>ROUND((('Control Panel'!$B$2*(C5+1))*C6),0)</f>
        <v>315</v>
      </c>
      <c r="D4" s="2">
        <f>ROUND((('Control Panel'!$B$2*(D5+1))*D6),0)</f>
        <v>316</v>
      </c>
      <c r="E4" s="2">
        <f>ROUND((('Control Panel'!$B$2*(E5+1))*E6),0)</f>
        <v>317</v>
      </c>
      <c r="F4" s="2">
        <f>ROUND((('Control Panel'!$B$2*(F5+1))*F6),0)</f>
        <v>317</v>
      </c>
      <c r="G4" s="2">
        <f>ROUND((('Control Panel'!$B$2*(G5+1))*G6),0)</f>
        <v>318</v>
      </c>
      <c r="H4" s="2">
        <f>ROUND((('Control Panel'!$B$2*(H5+1))*H6),0)</f>
        <v>319</v>
      </c>
      <c r="I4" s="2">
        <f>ROUND((('Control Panel'!$B$2*(I5+1))*I6),0)</f>
        <v>320</v>
      </c>
      <c r="J4" s="2">
        <f>ROUND((('Control Panel'!$B$2*(J5+1))*J6),0)</f>
        <v>321</v>
      </c>
      <c r="K4" s="2">
        <f>ROUND((('Control Panel'!$B$2*(K5+1))*K6),0)</f>
        <v>322</v>
      </c>
      <c r="L4" s="2">
        <f>ROUND((('Control Panel'!$B$2*(L5+1))*L6),0)</f>
        <v>323</v>
      </c>
      <c r="M4" s="2">
        <f>ROUND((('Control Panel'!$B$2*(M5+1))*M6),0)</f>
        <v>324</v>
      </c>
      <c r="N4" s="2">
        <f>ROUND((('Control Panel'!$B$2*(N5+1))*N6),0)</f>
        <v>326</v>
      </c>
      <c r="O4" s="2">
        <f>SUM(C4:N4)</f>
        <v>3838</v>
      </c>
    </row>
    <row r="5" spans="1:17" x14ac:dyDescent="0.35">
      <c r="A5" t="s">
        <v>71</v>
      </c>
      <c r="B5" s="2"/>
      <c r="C5" s="24">
        <f>'Control Panel'!B4</f>
        <v>0.05</v>
      </c>
      <c r="D5" s="24">
        <f>C5*(1+'Control Panel'!$B$4)</f>
        <v>5.2500000000000005E-2</v>
      </c>
      <c r="E5" s="24">
        <f>D5*(1+'Control Panel'!$B$4)</f>
        <v>5.5125000000000007E-2</v>
      </c>
      <c r="F5" s="24">
        <f>E5*(1+'Control Panel'!$B$4)</f>
        <v>5.7881250000000009E-2</v>
      </c>
      <c r="G5" s="24">
        <f>F5*(1+'Control Panel'!$B$4)</f>
        <v>6.0775312500000012E-2</v>
      </c>
      <c r="H5" s="24">
        <f>G5*(1+'Control Panel'!$B$4)</f>
        <v>6.3814078125000021E-2</v>
      </c>
      <c r="I5" s="24">
        <f>H5*(1+'Control Panel'!$B$4)</f>
        <v>6.7004782031250029E-2</v>
      </c>
      <c r="J5" s="24">
        <f>I5*(1+'Control Panel'!$B$4)</f>
        <v>7.0355021132812529E-2</v>
      </c>
      <c r="K5" s="24">
        <f>J5*(1+'Control Panel'!$B$4)</f>
        <v>7.3872772189453165E-2</v>
      </c>
      <c r="L5" s="24">
        <f>K5*(1+'Control Panel'!$B$4)</f>
        <v>7.7566410798925831E-2</v>
      </c>
      <c r="M5" s="24">
        <f>L5*(1+'Control Panel'!$B$4)</f>
        <v>8.1444731338872131E-2</v>
      </c>
      <c r="N5" s="24">
        <f>M5*(1+'Control Panel'!$B$4)</f>
        <v>8.5516967905815741E-2</v>
      </c>
      <c r="O5" s="2"/>
    </row>
    <row r="6" spans="1:17" x14ac:dyDescent="0.35">
      <c r="A6" t="s">
        <v>72</v>
      </c>
      <c r="B6" s="2"/>
      <c r="C6" s="18">
        <v>1</v>
      </c>
      <c r="D6" s="18">
        <f>C6</f>
        <v>1</v>
      </c>
      <c r="E6" s="18">
        <f t="shared" ref="E6:N6" si="1">D6</f>
        <v>1</v>
      </c>
      <c r="F6" s="18">
        <f t="shared" si="1"/>
        <v>1</v>
      </c>
      <c r="G6" s="18">
        <f t="shared" si="1"/>
        <v>1</v>
      </c>
      <c r="H6" s="18">
        <f t="shared" si="1"/>
        <v>1</v>
      </c>
      <c r="I6" s="18">
        <f t="shared" si="1"/>
        <v>1</v>
      </c>
      <c r="J6" s="18">
        <f t="shared" si="1"/>
        <v>1</v>
      </c>
      <c r="K6" s="18">
        <f t="shared" si="1"/>
        <v>1</v>
      </c>
      <c r="L6" s="18">
        <f t="shared" si="1"/>
        <v>1</v>
      </c>
      <c r="M6" s="18">
        <f t="shared" si="1"/>
        <v>1</v>
      </c>
      <c r="N6" s="18">
        <f t="shared" si="1"/>
        <v>1</v>
      </c>
      <c r="O6" s="2"/>
    </row>
    <row r="7" spans="1:17" x14ac:dyDescent="0.35">
      <c r="A7" t="s">
        <v>73</v>
      </c>
      <c r="B7" s="2"/>
      <c r="C7" s="2">
        <f>C3*C4</f>
        <v>15750</v>
      </c>
      <c r="D7" s="2">
        <f t="shared" ref="D7:N7" si="2">D3*D4</f>
        <v>15800</v>
      </c>
      <c r="E7" s="2">
        <f t="shared" si="2"/>
        <v>15850</v>
      </c>
      <c r="F7" s="2">
        <f t="shared" si="2"/>
        <v>15850</v>
      </c>
      <c r="G7" s="2">
        <f t="shared" si="2"/>
        <v>15900</v>
      </c>
      <c r="H7" s="2">
        <f t="shared" si="2"/>
        <v>15950</v>
      </c>
      <c r="I7" s="2">
        <f t="shared" si="2"/>
        <v>16000</v>
      </c>
      <c r="J7" s="2">
        <f t="shared" si="2"/>
        <v>16050</v>
      </c>
      <c r="K7" s="2">
        <f t="shared" si="2"/>
        <v>16100</v>
      </c>
      <c r="L7" s="2">
        <f t="shared" si="2"/>
        <v>16150</v>
      </c>
      <c r="M7" s="2">
        <f t="shared" si="2"/>
        <v>16200</v>
      </c>
      <c r="N7" s="2">
        <f t="shared" si="2"/>
        <v>16300</v>
      </c>
      <c r="O7" s="2">
        <f>SUM(C7:N7)</f>
        <v>191900</v>
      </c>
      <c r="P7" t="s">
        <v>74</v>
      </c>
      <c r="Q7" s="2">
        <f>(N7*'Control Panel'!$B$8)*(1/4)+(N7*'Control Panel'!$B$9)</f>
        <v>4075</v>
      </c>
    </row>
    <row r="8" spans="1:17" x14ac:dyDescent="0.3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Q8" s="3"/>
    </row>
    <row r="9" spans="1:17" x14ac:dyDescent="0.35">
      <c r="A9" t="s">
        <v>75</v>
      </c>
      <c r="B9" s="2">
        <v>0</v>
      </c>
      <c r="C9" s="2">
        <f>B46</f>
        <v>70000</v>
      </c>
      <c r="D9" s="2">
        <f>C46</f>
        <v>76812.5</v>
      </c>
      <c r="E9" s="2">
        <f t="shared" ref="E9:N9" si="3">D46</f>
        <v>82087.5</v>
      </c>
      <c r="F9" s="2">
        <f t="shared" si="3"/>
        <v>87395</v>
      </c>
      <c r="G9" s="2">
        <f t="shared" si="3"/>
        <v>92697.5</v>
      </c>
      <c r="H9" s="2">
        <f t="shared" si="3"/>
        <v>98037.5</v>
      </c>
      <c r="I9" s="2">
        <f t="shared" si="3"/>
        <v>103410</v>
      </c>
      <c r="J9" s="2">
        <f t="shared" si="3"/>
        <v>108815</v>
      </c>
      <c r="K9" s="2">
        <f t="shared" si="3"/>
        <v>114252.5</v>
      </c>
      <c r="L9" s="2">
        <f t="shared" si="3"/>
        <v>119722.5</v>
      </c>
      <c r="M9" s="2">
        <f t="shared" si="3"/>
        <v>125225</v>
      </c>
      <c r="N9" s="2">
        <f t="shared" si="3"/>
        <v>130760</v>
      </c>
      <c r="O9" s="2"/>
      <c r="Q9" s="13"/>
    </row>
    <row r="10" spans="1:17" x14ac:dyDescent="0.35">
      <c r="A10" t="s">
        <v>76</v>
      </c>
      <c r="B10" s="2"/>
      <c r="C10" s="2">
        <f>C7*'Control Panel'!$B$7</f>
        <v>0</v>
      </c>
      <c r="D10" s="2">
        <f>D7*'Control Panel'!$B$7</f>
        <v>0</v>
      </c>
      <c r="E10" s="2">
        <f>E7*'Control Panel'!$B$7</f>
        <v>0</v>
      </c>
      <c r="F10" s="2">
        <f>F7*'Control Panel'!$B$7</f>
        <v>0</v>
      </c>
      <c r="G10" s="2">
        <f>G7*'Control Panel'!$B$7</f>
        <v>0</v>
      </c>
      <c r="H10" s="2">
        <f>H7*'Control Panel'!$B$7</f>
        <v>0</v>
      </c>
      <c r="I10" s="2">
        <f>I7*'Control Panel'!$B$7</f>
        <v>0</v>
      </c>
      <c r="J10" s="2">
        <f>J7*'Control Panel'!$B$7</f>
        <v>0</v>
      </c>
      <c r="K10" s="2">
        <f>K7*'Control Panel'!$B$7</f>
        <v>0</v>
      </c>
      <c r="L10" s="2">
        <f>L7*'Control Panel'!$B$7</f>
        <v>0</v>
      </c>
      <c r="M10" s="2">
        <f>M7*'Control Panel'!$B$7</f>
        <v>0</v>
      </c>
      <c r="N10" s="2">
        <f>N7*'Control Panel'!$B$7</f>
        <v>0</v>
      </c>
      <c r="O10" s="2">
        <f>SUM(B10:N10)</f>
        <v>0</v>
      </c>
    </row>
    <row r="11" spans="1:17" x14ac:dyDescent="0.35">
      <c r="A11" t="s">
        <v>77</v>
      </c>
      <c r="B11" s="2"/>
      <c r="C11" s="2">
        <f>(C7*'Control Panel'!$B$8)*(3/4)</f>
        <v>11812.5</v>
      </c>
      <c r="D11" s="2">
        <f>(D7*'Control Panel'!$B$8)*(3/4)</f>
        <v>11850</v>
      </c>
      <c r="E11" s="2">
        <f>(E7*'Control Panel'!$B$8)*(3/4)</f>
        <v>11887.5</v>
      </c>
      <c r="F11" s="2">
        <f>(F7*'Control Panel'!$B$8)*(3/4)</f>
        <v>11887.5</v>
      </c>
      <c r="G11" s="2">
        <f>(G7*'Control Panel'!$B$8)*(3/4)</f>
        <v>11925</v>
      </c>
      <c r="H11" s="2">
        <f>(H7*'Control Panel'!$B$8)*(3/4)</f>
        <v>11962.5</v>
      </c>
      <c r="I11" s="2">
        <f>(I7*'Control Panel'!$B$8)*(3/4)</f>
        <v>12000</v>
      </c>
      <c r="J11" s="2">
        <f>(J7*'Control Panel'!$B$8)*(3/4)</f>
        <v>12037.5</v>
      </c>
      <c r="K11" s="2">
        <f>(K7*'Control Panel'!$B$8)*(3/4)</f>
        <v>12075</v>
      </c>
      <c r="L11" s="2">
        <f>(L7*'Control Panel'!$B$8)*(3/4)</f>
        <v>12112.5</v>
      </c>
      <c r="M11" s="2">
        <f>(M7*'Control Panel'!$B$8)*(3/4)</f>
        <v>12150</v>
      </c>
      <c r="N11" s="10">
        <f>(N7*'Control Panel'!$B$8)*(3/4)</f>
        <v>12225</v>
      </c>
      <c r="O11" s="2">
        <f t="shared" ref="O11:O13" si="4">SUM(B11:N11)</f>
        <v>143925</v>
      </c>
    </row>
    <row r="12" spans="1:17" x14ac:dyDescent="0.35">
      <c r="A12" t="s">
        <v>78</v>
      </c>
      <c r="B12" s="2"/>
      <c r="C12" s="2"/>
      <c r="D12" s="2">
        <f>(C7*'Control Panel'!$B$8)*(1/4)</f>
        <v>3937.5</v>
      </c>
      <c r="E12" s="2">
        <f>(D7*'Control Panel'!$B$8)*(1/4)</f>
        <v>3950</v>
      </c>
      <c r="F12" s="2">
        <f>(E7*'Control Panel'!$B$8)*(1/4)</f>
        <v>3962.5</v>
      </c>
      <c r="G12" s="2">
        <f>(F7*'Control Panel'!$B$8)*(1/4)</f>
        <v>3962.5</v>
      </c>
      <c r="H12" s="2">
        <f>(G7*'Control Panel'!$B$8)*(1/4)</f>
        <v>3975</v>
      </c>
      <c r="I12" s="2">
        <f>(H7*'Control Panel'!$B$8)*(1/4)</f>
        <v>3987.5</v>
      </c>
      <c r="J12" s="2">
        <f>(I7*'Control Panel'!$B$8)*(1/4)</f>
        <v>4000</v>
      </c>
      <c r="K12" s="2">
        <f>(J7*'Control Panel'!$B$8)*(1/4)</f>
        <v>4012.5</v>
      </c>
      <c r="L12" s="2">
        <f>(K7*'Control Panel'!$B$8)*(1/4)</f>
        <v>4025</v>
      </c>
      <c r="M12" s="2">
        <f>(L7*'Control Panel'!$B$8)*(1/4)</f>
        <v>4037.5</v>
      </c>
      <c r="N12" s="2">
        <f>(M7*'Control Panel'!$B$8)*(1/4)</f>
        <v>4050</v>
      </c>
      <c r="O12" s="2">
        <f t="shared" si="4"/>
        <v>43900</v>
      </c>
    </row>
    <row r="13" spans="1:17" x14ac:dyDescent="0.35">
      <c r="A13" t="s">
        <v>79</v>
      </c>
      <c r="B13" s="2"/>
      <c r="C13" s="2"/>
      <c r="D13" s="2">
        <f>(C7*'Control Panel'!$B$9)</f>
        <v>0</v>
      </c>
      <c r="E13" s="2">
        <f>(D7*'Control Panel'!$B$9)</f>
        <v>0</v>
      </c>
      <c r="F13" s="2">
        <f>(E7*'Control Panel'!$B$9)</f>
        <v>0</v>
      </c>
      <c r="G13" s="2">
        <f>(F7*'Control Panel'!$B$9)</f>
        <v>0</v>
      </c>
      <c r="H13" s="2">
        <f>(G7*'Control Panel'!$B$9)</f>
        <v>0</v>
      </c>
      <c r="I13" s="2">
        <f>(H7*'Control Panel'!$B$9)</f>
        <v>0</v>
      </c>
      <c r="J13" s="2">
        <f>(I7*'Control Panel'!$B$9)</f>
        <v>0</v>
      </c>
      <c r="K13" s="2">
        <f>(J7*'Control Panel'!$B$9)</f>
        <v>0</v>
      </c>
      <c r="L13" s="2">
        <f>(K7*'Control Panel'!$B$9)</f>
        <v>0</v>
      </c>
      <c r="M13" s="2">
        <f>(L7*'Control Panel'!$B$9)</f>
        <v>0</v>
      </c>
      <c r="N13" s="2">
        <f>(M7*'Control Panel'!$B$9)</f>
        <v>0</v>
      </c>
      <c r="O13" s="2">
        <f t="shared" si="4"/>
        <v>0</v>
      </c>
    </row>
    <row r="14" spans="1:17" x14ac:dyDescent="0.35">
      <c r="A14" t="s">
        <v>80</v>
      </c>
      <c r="B14" s="2">
        <f>SUM(B10:B13)</f>
        <v>0</v>
      </c>
      <c r="C14" s="2">
        <f>SUM(C10:C13)</f>
        <v>11812.5</v>
      </c>
      <c r="D14" s="2">
        <f t="shared" ref="D14:N14" si="5">SUM(D10:D13)</f>
        <v>15787.5</v>
      </c>
      <c r="E14" s="2">
        <f t="shared" si="5"/>
        <v>15837.5</v>
      </c>
      <c r="F14" s="2">
        <f t="shared" si="5"/>
        <v>15850</v>
      </c>
      <c r="G14" s="2">
        <f t="shared" si="5"/>
        <v>15887.5</v>
      </c>
      <c r="H14" s="2">
        <f t="shared" si="5"/>
        <v>15937.5</v>
      </c>
      <c r="I14" s="2">
        <f t="shared" si="5"/>
        <v>15987.5</v>
      </c>
      <c r="J14" s="2">
        <f t="shared" si="5"/>
        <v>16037.5</v>
      </c>
      <c r="K14" s="2">
        <f t="shared" si="5"/>
        <v>16087.5</v>
      </c>
      <c r="L14" s="2">
        <f t="shared" si="5"/>
        <v>16137.5</v>
      </c>
      <c r="M14" s="2">
        <f t="shared" si="5"/>
        <v>16187.5</v>
      </c>
      <c r="N14" s="2">
        <f t="shared" si="5"/>
        <v>16275</v>
      </c>
      <c r="O14" s="2">
        <f>SUM(O10:O13)</f>
        <v>187825</v>
      </c>
    </row>
    <row r="15" spans="1:17" x14ac:dyDescent="0.3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7" x14ac:dyDescent="0.35">
      <c r="A16" t="s">
        <v>81</v>
      </c>
      <c r="B16" s="2">
        <f>'Startup &amp; Pre-Opening Costs'!B29</f>
        <v>185000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>
        <f t="shared" ref="O16" si="6">SUM(B16:N16)</f>
        <v>185000</v>
      </c>
    </row>
    <row r="17" spans="1:17" x14ac:dyDescent="0.3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7" x14ac:dyDescent="0.35">
      <c r="A18" t="s">
        <v>82</v>
      </c>
      <c r="B18" s="2"/>
      <c r="C18" s="2">
        <f>(C7*'Control Panel'!$B$11)*(1-'Control Panel'!$B$13)</f>
        <v>0</v>
      </c>
      <c r="D18" s="2">
        <f>(D7*'Control Panel'!$B$11)*(1-'Control Panel'!$B$13)</f>
        <v>0</v>
      </c>
      <c r="E18" s="2">
        <f>(E7*'Control Panel'!$B$11)*(1-'Control Panel'!$B$13)</f>
        <v>0</v>
      </c>
      <c r="F18" s="2">
        <f>(F7*'Control Panel'!$B$11)*(1-'Control Panel'!$B$13)</f>
        <v>0</v>
      </c>
      <c r="G18" s="2">
        <f>(G7*'Control Panel'!$B$11)*(1-'Control Panel'!$B$13)</f>
        <v>0</v>
      </c>
      <c r="H18" s="2">
        <f>(H7*'Control Panel'!$B$11)*(1-'Control Panel'!$B$13)</f>
        <v>0</v>
      </c>
      <c r="I18" s="2">
        <f>(I7*'Control Panel'!$B$11)*(1-'Control Panel'!$B$13)</f>
        <v>0</v>
      </c>
      <c r="J18" s="2">
        <f>(J7*'Control Panel'!$B$11)*(1-'Control Panel'!$B$13)</f>
        <v>0</v>
      </c>
      <c r="K18" s="2">
        <f>(K7*'Control Panel'!$B$11)*(1-'Control Panel'!$B$13)</f>
        <v>0</v>
      </c>
      <c r="L18" s="2">
        <f>(L7*'Control Panel'!$B$11)*(1-'Control Panel'!$B$13)</f>
        <v>0</v>
      </c>
      <c r="M18" s="2">
        <f>(M7*'Control Panel'!$B$11)*(1-'Control Panel'!$B$13)</f>
        <v>0</v>
      </c>
      <c r="N18" s="2">
        <f>(N7*'Control Panel'!$B$11)*(1-'Control Panel'!$B$13)</f>
        <v>0</v>
      </c>
      <c r="O18" s="2">
        <f t="shared" ref="O18:O19" si="7">SUM(B18:N18)</f>
        <v>0</v>
      </c>
    </row>
    <row r="19" spans="1:17" x14ac:dyDescent="0.35">
      <c r="A19" t="s">
        <v>83</v>
      </c>
      <c r="B19" s="2"/>
      <c r="C19" s="2"/>
      <c r="D19" s="2">
        <f>(C7*'Control Panel'!$B$11)*('Control Panel'!$B$13)</f>
        <v>5512.5</v>
      </c>
      <c r="E19" s="2">
        <f>(D7*'Control Panel'!$B$11)*('Control Panel'!$B$13)</f>
        <v>5530</v>
      </c>
      <c r="F19" s="2">
        <f>(E7*'Control Panel'!$B$11)*('Control Panel'!$B$13)</f>
        <v>5547.5</v>
      </c>
      <c r="G19" s="2">
        <f>(F7*'Control Panel'!$B$11)*('Control Panel'!$B$13)</f>
        <v>5547.5</v>
      </c>
      <c r="H19" s="2">
        <f>(G7*'Control Panel'!$B$11)*('Control Panel'!$B$13)</f>
        <v>5565</v>
      </c>
      <c r="I19" s="2">
        <f>(H7*'Control Panel'!$B$11)*('Control Panel'!$B$13)</f>
        <v>5582.5</v>
      </c>
      <c r="J19" s="2">
        <f>(I7*'Control Panel'!$B$11)*('Control Panel'!$B$13)</f>
        <v>5600</v>
      </c>
      <c r="K19" s="2">
        <f>(J7*'Control Panel'!$B$11)*('Control Panel'!$B$13)</f>
        <v>5617.5</v>
      </c>
      <c r="L19" s="2">
        <f>(K7*'Control Panel'!$B$11)*('Control Panel'!$B$13)</f>
        <v>5635</v>
      </c>
      <c r="M19" s="2">
        <f>(L7*'Control Panel'!$B$11)*('Control Panel'!$B$13)</f>
        <v>5652.5</v>
      </c>
      <c r="N19" s="2">
        <f>(M7*'Control Panel'!$B$11)*('Control Panel'!$B$13)</f>
        <v>5670</v>
      </c>
      <c r="O19" s="2">
        <f t="shared" si="7"/>
        <v>61460</v>
      </c>
    </row>
    <row r="20" spans="1:17" x14ac:dyDescent="0.35">
      <c r="A20" t="s">
        <v>84</v>
      </c>
      <c r="B20" s="2">
        <f>SUM(B18:B19)</f>
        <v>0</v>
      </c>
      <c r="C20" s="2">
        <f>SUM(C18:C19)</f>
        <v>0</v>
      </c>
      <c r="D20" s="2">
        <f t="shared" ref="D20:N20" si="8">SUM(D18:D19)</f>
        <v>5512.5</v>
      </c>
      <c r="E20" s="2">
        <f t="shared" si="8"/>
        <v>5530</v>
      </c>
      <c r="F20" s="2">
        <f t="shared" si="8"/>
        <v>5547.5</v>
      </c>
      <c r="G20" s="2">
        <f t="shared" si="8"/>
        <v>5547.5</v>
      </c>
      <c r="H20" s="2">
        <f t="shared" si="8"/>
        <v>5565</v>
      </c>
      <c r="I20" s="2">
        <f t="shared" si="8"/>
        <v>5582.5</v>
      </c>
      <c r="J20" s="2">
        <f t="shared" si="8"/>
        <v>5600</v>
      </c>
      <c r="K20" s="2">
        <f t="shared" si="8"/>
        <v>5617.5</v>
      </c>
      <c r="L20" s="2">
        <f t="shared" si="8"/>
        <v>5635</v>
      </c>
      <c r="M20" s="2">
        <f t="shared" si="8"/>
        <v>5652.5</v>
      </c>
      <c r="N20" s="2">
        <f t="shared" si="8"/>
        <v>5670</v>
      </c>
      <c r="O20" s="2">
        <f>SUM(O18:O19)</f>
        <v>61460</v>
      </c>
      <c r="P20" t="s">
        <v>85</v>
      </c>
      <c r="Q20" s="3">
        <f>(N7*'Control Panel'!$B$11)*('Control Panel'!$B$13)</f>
        <v>5705</v>
      </c>
    </row>
    <row r="21" spans="1:17" x14ac:dyDescent="0.3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7" x14ac:dyDescent="0.35">
      <c r="A22" t="s">
        <v>32</v>
      </c>
      <c r="B22" s="2">
        <f>'Startup &amp; Pre-Opening Costs'!C2</f>
        <v>5000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">
        <f>SUM(B22:N22)</f>
        <v>5000</v>
      </c>
    </row>
    <row r="23" spans="1:17" x14ac:dyDescent="0.35">
      <c r="A23" t="s">
        <v>33</v>
      </c>
      <c r="B23" s="6">
        <f>'Startup &amp; Pre-Opening Costs'!C3</f>
        <v>0</v>
      </c>
      <c r="C23" s="25"/>
      <c r="D23" s="25"/>
      <c r="E23" s="25"/>
      <c r="F23" s="25">
        <f>B23</f>
        <v>0</v>
      </c>
      <c r="G23" s="25">
        <f t="shared" ref="G23:J23" si="9">C23</f>
        <v>0</v>
      </c>
      <c r="H23" s="25">
        <f t="shared" si="9"/>
        <v>0</v>
      </c>
      <c r="I23" s="25">
        <f t="shared" si="9"/>
        <v>0</v>
      </c>
      <c r="J23" s="25">
        <f t="shared" si="9"/>
        <v>0</v>
      </c>
      <c r="K23" s="25">
        <f>G23</f>
        <v>0</v>
      </c>
      <c r="L23" s="25">
        <f t="shared" ref="L23" si="10">H23</f>
        <v>0</v>
      </c>
      <c r="M23" s="25">
        <f t="shared" ref="M23" si="11">I23</f>
        <v>0</v>
      </c>
      <c r="N23" s="25">
        <f t="shared" ref="N23" si="12">J23</f>
        <v>0</v>
      </c>
      <c r="O23" s="2">
        <f t="shared" ref="O23:O37" si="13">SUM(B23:N23)</f>
        <v>0</v>
      </c>
    </row>
    <row r="24" spans="1:17" x14ac:dyDescent="0.35">
      <c r="A24" t="s">
        <v>34</v>
      </c>
      <c r="B24" s="6">
        <f>'Startup &amp; Pre-Opening Costs'!C4</f>
        <v>0</v>
      </c>
      <c r="C24" s="25"/>
      <c r="D24" s="25"/>
      <c r="E24" s="25"/>
      <c r="F24" s="25">
        <f>B24</f>
        <v>0</v>
      </c>
      <c r="G24" s="25">
        <f t="shared" ref="G24" si="14">C24</f>
        <v>0</v>
      </c>
      <c r="H24" s="25">
        <f t="shared" ref="H24" si="15">D24</f>
        <v>0</v>
      </c>
      <c r="I24" s="25">
        <f t="shared" ref="I24" si="16">E24</f>
        <v>0</v>
      </c>
      <c r="J24" s="25">
        <f t="shared" ref="J24" si="17">F24</f>
        <v>0</v>
      </c>
      <c r="K24" s="25">
        <f>G24</f>
        <v>0</v>
      </c>
      <c r="L24" s="25">
        <f t="shared" ref="L24" si="18">H24</f>
        <v>0</v>
      </c>
      <c r="M24" s="25">
        <f t="shared" ref="M24" si="19">I24</f>
        <v>0</v>
      </c>
      <c r="N24" s="25">
        <f t="shared" ref="N24" si="20">J24</f>
        <v>0</v>
      </c>
      <c r="O24" s="2">
        <f t="shared" si="13"/>
        <v>0</v>
      </c>
    </row>
    <row r="25" spans="1:17" x14ac:dyDescent="0.35">
      <c r="A25" t="s">
        <v>35</v>
      </c>
      <c r="B25" s="6">
        <f>'Startup &amp; Pre-Opening Costs'!C6</f>
        <v>0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">
        <f t="shared" si="13"/>
        <v>0</v>
      </c>
    </row>
    <row r="26" spans="1:17" x14ac:dyDescent="0.35">
      <c r="A26" t="s">
        <v>36</v>
      </c>
      <c r="B26" s="6">
        <f>'Startup &amp; Pre-Opening Costs'!C6</f>
        <v>0</v>
      </c>
      <c r="C26" s="25">
        <f>B26</f>
        <v>0</v>
      </c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">
        <f t="shared" si="13"/>
        <v>0</v>
      </c>
    </row>
    <row r="27" spans="1:17" x14ac:dyDescent="0.35">
      <c r="A27" t="s">
        <v>37</v>
      </c>
      <c r="B27" s="6">
        <f>'Startup &amp; Pre-Opening Costs'!C7</f>
        <v>0</v>
      </c>
      <c r="C27" s="25">
        <f>B27</f>
        <v>0</v>
      </c>
      <c r="D27" s="25">
        <f t="shared" ref="D27:N27" si="21">C27</f>
        <v>0</v>
      </c>
      <c r="E27" s="25">
        <f t="shared" si="21"/>
        <v>0</v>
      </c>
      <c r="F27" s="25">
        <f t="shared" si="21"/>
        <v>0</v>
      </c>
      <c r="G27" s="25">
        <f t="shared" si="21"/>
        <v>0</v>
      </c>
      <c r="H27" s="25">
        <f t="shared" si="21"/>
        <v>0</v>
      </c>
      <c r="I27" s="25">
        <f t="shared" si="21"/>
        <v>0</v>
      </c>
      <c r="J27" s="25">
        <f t="shared" si="21"/>
        <v>0</v>
      </c>
      <c r="K27" s="25">
        <f t="shared" si="21"/>
        <v>0</v>
      </c>
      <c r="L27" s="25">
        <f t="shared" si="21"/>
        <v>0</v>
      </c>
      <c r="M27" s="25">
        <f t="shared" si="21"/>
        <v>0</v>
      </c>
      <c r="N27" s="25">
        <f t="shared" si="21"/>
        <v>0</v>
      </c>
      <c r="O27" s="2">
        <f t="shared" si="13"/>
        <v>0</v>
      </c>
    </row>
    <row r="28" spans="1:17" x14ac:dyDescent="0.35">
      <c r="A28" t="s">
        <v>38</v>
      </c>
      <c r="B28" s="6">
        <f>'Startup &amp; Pre-Opening Costs'!C8</f>
        <v>50000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">
        <f t="shared" si="13"/>
        <v>50000</v>
      </c>
    </row>
    <row r="29" spans="1:17" x14ac:dyDescent="0.35">
      <c r="A29" t="s">
        <v>39</v>
      </c>
      <c r="B29" s="6"/>
      <c r="C29" s="25">
        <f>'Startup &amp; Pre-Opening Costs'!C9</f>
        <v>0</v>
      </c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">
        <f t="shared" si="13"/>
        <v>0</v>
      </c>
    </row>
    <row r="30" spans="1:17" x14ac:dyDescent="0.35">
      <c r="A30" t="s">
        <v>41</v>
      </c>
      <c r="B30" s="6">
        <f>'Startup &amp; Pre-Opening Costs'!C11</f>
        <v>0</v>
      </c>
      <c r="C30" s="25">
        <f>B30</f>
        <v>0</v>
      </c>
      <c r="D30" s="25">
        <f t="shared" ref="D30:N31" si="22">C30</f>
        <v>0</v>
      </c>
      <c r="E30" s="25">
        <f t="shared" si="22"/>
        <v>0</v>
      </c>
      <c r="F30" s="25">
        <f t="shared" si="22"/>
        <v>0</v>
      </c>
      <c r="G30" s="25">
        <f t="shared" si="22"/>
        <v>0</v>
      </c>
      <c r="H30" s="25">
        <f t="shared" si="22"/>
        <v>0</v>
      </c>
      <c r="I30" s="25">
        <f t="shared" si="22"/>
        <v>0</v>
      </c>
      <c r="J30" s="25">
        <f t="shared" si="22"/>
        <v>0</v>
      </c>
      <c r="K30" s="25">
        <f t="shared" si="22"/>
        <v>0</v>
      </c>
      <c r="L30" s="25">
        <f t="shared" si="22"/>
        <v>0</v>
      </c>
      <c r="M30" s="25">
        <f t="shared" si="22"/>
        <v>0</v>
      </c>
      <c r="N30" s="25">
        <f t="shared" si="22"/>
        <v>0</v>
      </c>
      <c r="O30" s="2">
        <f t="shared" si="13"/>
        <v>0</v>
      </c>
    </row>
    <row r="31" spans="1:17" x14ac:dyDescent="0.35">
      <c r="A31" t="s">
        <v>86</v>
      </c>
      <c r="B31" s="6">
        <f>'Startup &amp; Pre-Opening Costs'!C13</f>
        <v>0</v>
      </c>
      <c r="C31" s="25">
        <f>B31</f>
        <v>0</v>
      </c>
      <c r="D31" s="25">
        <f t="shared" si="22"/>
        <v>0</v>
      </c>
      <c r="E31" s="25">
        <f t="shared" si="22"/>
        <v>0</v>
      </c>
      <c r="F31" s="25">
        <f t="shared" si="22"/>
        <v>0</v>
      </c>
      <c r="G31" s="25">
        <f t="shared" si="22"/>
        <v>0</v>
      </c>
      <c r="H31" s="25">
        <f t="shared" si="22"/>
        <v>0</v>
      </c>
      <c r="I31" s="25">
        <f t="shared" si="22"/>
        <v>0</v>
      </c>
      <c r="J31" s="25">
        <f t="shared" si="22"/>
        <v>0</v>
      </c>
      <c r="K31" s="25">
        <f t="shared" si="22"/>
        <v>0</v>
      </c>
      <c r="L31" s="25">
        <f t="shared" si="22"/>
        <v>0</v>
      </c>
      <c r="M31" s="25">
        <f t="shared" si="22"/>
        <v>0</v>
      </c>
      <c r="N31" s="25">
        <f t="shared" si="22"/>
        <v>0</v>
      </c>
      <c r="O31" s="2">
        <f t="shared" si="13"/>
        <v>0</v>
      </c>
    </row>
    <row r="32" spans="1:17" x14ac:dyDescent="0.35">
      <c r="A32" t="s">
        <v>45</v>
      </c>
      <c r="B32" s="6">
        <f>'Startup &amp; Pre-Opening Costs'!C15</f>
        <v>0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">
        <f t="shared" si="13"/>
        <v>0</v>
      </c>
    </row>
    <row r="33" spans="1:15" x14ac:dyDescent="0.35">
      <c r="A33" t="s">
        <v>46</v>
      </c>
      <c r="B33" s="6">
        <f>'Startup &amp; Pre-Opening Costs'!C16</f>
        <v>0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">
        <f t="shared" si="13"/>
        <v>0</v>
      </c>
    </row>
    <row r="34" spans="1:15" x14ac:dyDescent="0.35">
      <c r="A34" t="s">
        <v>47</v>
      </c>
      <c r="B34" s="6"/>
      <c r="C34" s="25">
        <f>'Startup &amp; Pre-Opening Costs'!C17</f>
        <v>0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">
        <f t="shared" si="13"/>
        <v>0</v>
      </c>
    </row>
    <row r="35" spans="1:15" x14ac:dyDescent="0.35">
      <c r="A35" t="s">
        <v>48</v>
      </c>
      <c r="B35" s="6">
        <f>'Startup &amp; Pre-Opening Costs'!C18</f>
        <v>0</v>
      </c>
      <c r="C35" s="25">
        <f>B35</f>
        <v>0</v>
      </c>
      <c r="D35" s="25">
        <f t="shared" ref="D35:J35" si="23">C35</f>
        <v>0</v>
      </c>
      <c r="E35" s="25">
        <f t="shared" si="23"/>
        <v>0</v>
      </c>
      <c r="F35" s="25">
        <f t="shared" si="23"/>
        <v>0</v>
      </c>
      <c r="G35" s="25">
        <f t="shared" si="23"/>
        <v>0</v>
      </c>
      <c r="H35" s="25">
        <f t="shared" si="23"/>
        <v>0</v>
      </c>
      <c r="I35" s="25">
        <f t="shared" si="23"/>
        <v>0</v>
      </c>
      <c r="J35" s="25">
        <f t="shared" si="23"/>
        <v>0</v>
      </c>
      <c r="K35" s="25">
        <f>J35</f>
        <v>0</v>
      </c>
      <c r="L35" s="25">
        <f t="shared" ref="L35:N35" si="24">K35</f>
        <v>0</v>
      </c>
      <c r="M35" s="25">
        <f t="shared" si="24"/>
        <v>0</v>
      </c>
      <c r="N35" s="25">
        <f t="shared" si="24"/>
        <v>0</v>
      </c>
      <c r="O35" s="2">
        <f t="shared" si="13"/>
        <v>0</v>
      </c>
    </row>
    <row r="36" spans="1:15" x14ac:dyDescent="0.35">
      <c r="A36" t="s">
        <v>87</v>
      </c>
      <c r="B36" s="6">
        <f>'Startup &amp; Pre-Opening Costs'!C20</f>
        <v>0</v>
      </c>
      <c r="C36" s="25">
        <f>B36</f>
        <v>0</v>
      </c>
      <c r="D36" s="25">
        <f t="shared" ref="D36:J36" si="25">C36</f>
        <v>0</v>
      </c>
      <c r="E36" s="25">
        <f t="shared" si="25"/>
        <v>0</v>
      </c>
      <c r="F36" s="25">
        <f t="shared" si="25"/>
        <v>0</v>
      </c>
      <c r="G36" s="25">
        <f t="shared" si="25"/>
        <v>0</v>
      </c>
      <c r="H36" s="25">
        <f t="shared" si="25"/>
        <v>0</v>
      </c>
      <c r="I36" s="25">
        <f t="shared" si="25"/>
        <v>0</v>
      </c>
      <c r="J36" s="25">
        <f t="shared" si="25"/>
        <v>0</v>
      </c>
      <c r="K36" s="25">
        <f>J36</f>
        <v>0</v>
      </c>
      <c r="L36" s="25">
        <f t="shared" ref="L36:N36" si="26">K36</f>
        <v>0</v>
      </c>
      <c r="M36" s="25">
        <f t="shared" si="26"/>
        <v>0</v>
      </c>
      <c r="N36" s="25">
        <f t="shared" si="26"/>
        <v>0</v>
      </c>
      <c r="O36" s="2">
        <f t="shared" si="13"/>
        <v>0</v>
      </c>
    </row>
    <row r="37" spans="1:15" x14ac:dyDescent="0.35">
      <c r="A37" t="s">
        <v>51</v>
      </c>
      <c r="B37" s="6">
        <f>'Startup &amp; Pre-Opening Costs'!C21</f>
        <v>50000</v>
      </c>
      <c r="C37" s="25">
        <v>5000</v>
      </c>
      <c r="D37" s="25">
        <f t="shared" ref="D37:J37" si="27">C37</f>
        <v>5000</v>
      </c>
      <c r="E37" s="25">
        <f t="shared" si="27"/>
        <v>5000</v>
      </c>
      <c r="F37" s="25">
        <f t="shared" si="27"/>
        <v>5000</v>
      </c>
      <c r="G37" s="25">
        <f t="shared" si="27"/>
        <v>5000</v>
      </c>
      <c r="H37" s="25">
        <f t="shared" si="27"/>
        <v>5000</v>
      </c>
      <c r="I37" s="25">
        <f t="shared" si="27"/>
        <v>5000</v>
      </c>
      <c r="J37" s="25">
        <f t="shared" si="27"/>
        <v>5000</v>
      </c>
      <c r="K37" s="25">
        <f>J37</f>
        <v>5000</v>
      </c>
      <c r="L37" s="25">
        <f t="shared" ref="L37:N37" si="28">K37</f>
        <v>5000</v>
      </c>
      <c r="M37" s="25">
        <f t="shared" si="28"/>
        <v>5000</v>
      </c>
      <c r="N37" s="25">
        <f t="shared" si="28"/>
        <v>5000</v>
      </c>
      <c r="O37" s="2">
        <f t="shared" si="13"/>
        <v>110000</v>
      </c>
    </row>
    <row r="38" spans="1:15" x14ac:dyDescent="0.35">
      <c r="A38" t="s">
        <v>88</v>
      </c>
      <c r="B38" s="2">
        <f>SUM(B22:B37)</f>
        <v>105000</v>
      </c>
      <c r="C38" s="2">
        <f t="shared" ref="C38:J38" si="29">SUM(C22:C37)</f>
        <v>5000</v>
      </c>
      <c r="D38" s="2">
        <f t="shared" si="29"/>
        <v>5000</v>
      </c>
      <c r="E38" s="2">
        <f t="shared" si="29"/>
        <v>5000</v>
      </c>
      <c r="F38" s="2">
        <f t="shared" si="29"/>
        <v>5000</v>
      </c>
      <c r="G38" s="2">
        <f t="shared" si="29"/>
        <v>5000</v>
      </c>
      <c r="H38" s="2">
        <f t="shared" si="29"/>
        <v>5000</v>
      </c>
      <c r="I38" s="2">
        <f t="shared" si="29"/>
        <v>5000</v>
      </c>
      <c r="J38" s="2">
        <f t="shared" si="29"/>
        <v>5000</v>
      </c>
      <c r="K38" s="2">
        <f>SUM(K22:K37)</f>
        <v>5000</v>
      </c>
      <c r="L38" s="2">
        <f t="shared" ref="L38" si="30">SUM(L22:L37)</f>
        <v>5000</v>
      </c>
      <c r="M38" s="2">
        <f t="shared" ref="M38" si="31">SUM(M22:M37)</f>
        <v>5000</v>
      </c>
      <c r="N38" s="2">
        <f t="shared" ref="N38" si="32">SUM(N22:N37)</f>
        <v>5000</v>
      </c>
      <c r="O38" s="2">
        <f t="shared" ref="O38" si="33">SUM(O22:O37)</f>
        <v>165000</v>
      </c>
    </row>
    <row r="39" spans="1:15" x14ac:dyDescent="0.35">
      <c r="B39" s="6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x14ac:dyDescent="0.35">
      <c r="A40" t="s">
        <v>40</v>
      </c>
      <c r="B40" s="6">
        <f>'Startup &amp; Pre-Opening Costs'!B10</f>
        <v>10000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">
        <f t="shared" ref="O40:O43" si="34">SUM(B40:N40)</f>
        <v>10000</v>
      </c>
    </row>
    <row r="41" spans="1:15" x14ac:dyDescent="0.35">
      <c r="A41" t="s">
        <v>86</v>
      </c>
      <c r="B41" s="6">
        <f>'Startup &amp; Pre-Opening Costs'!B12</f>
        <v>0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">
        <f t="shared" si="34"/>
        <v>0</v>
      </c>
    </row>
    <row r="42" spans="1:15" x14ac:dyDescent="0.35">
      <c r="A42" t="s">
        <v>44</v>
      </c>
      <c r="B42" s="6">
        <f>'Startup &amp; Pre-Opening Costs'!B14</f>
        <v>0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">
        <f t="shared" si="34"/>
        <v>0</v>
      </c>
    </row>
    <row r="43" spans="1:15" x14ac:dyDescent="0.35">
      <c r="A43" t="s">
        <v>49</v>
      </c>
      <c r="B43" s="6">
        <f>'Startup &amp; Pre-Opening Costs'!B19</f>
        <v>0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">
        <f t="shared" si="34"/>
        <v>0</v>
      </c>
    </row>
    <row r="44" spans="1:15" x14ac:dyDescent="0.35">
      <c r="A44" t="s">
        <v>89</v>
      </c>
      <c r="B44" s="2">
        <f>SUM(B40:B43)</f>
        <v>10000</v>
      </c>
      <c r="C44" s="2">
        <f t="shared" ref="C44:O44" si="35">SUM(C40:C43)</f>
        <v>0</v>
      </c>
      <c r="D44" s="2">
        <f t="shared" si="35"/>
        <v>0</v>
      </c>
      <c r="E44" s="2">
        <f t="shared" si="35"/>
        <v>0</v>
      </c>
      <c r="F44" s="2">
        <f t="shared" si="35"/>
        <v>0</v>
      </c>
      <c r="G44" s="2">
        <f t="shared" si="35"/>
        <v>0</v>
      </c>
      <c r="H44" s="2">
        <f t="shared" si="35"/>
        <v>0</v>
      </c>
      <c r="I44" s="2">
        <f t="shared" si="35"/>
        <v>0</v>
      </c>
      <c r="J44" s="2">
        <f t="shared" si="35"/>
        <v>0</v>
      </c>
      <c r="K44" s="2">
        <f t="shared" si="35"/>
        <v>0</v>
      </c>
      <c r="L44" s="2">
        <f t="shared" si="35"/>
        <v>0</v>
      </c>
      <c r="M44" s="2">
        <f t="shared" si="35"/>
        <v>0</v>
      </c>
      <c r="N44" s="2">
        <f t="shared" si="35"/>
        <v>0</v>
      </c>
      <c r="O44" s="2">
        <f t="shared" si="35"/>
        <v>10000</v>
      </c>
    </row>
    <row r="45" spans="1:15" x14ac:dyDescent="0.35">
      <c r="B45" s="1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x14ac:dyDescent="0.35">
      <c r="A46" t="s">
        <v>90</v>
      </c>
      <c r="B46" s="2">
        <f t="shared" ref="B46:N46" si="36">B9+B14-B20-B38-B44+B16</f>
        <v>70000</v>
      </c>
      <c r="C46" s="2">
        <f t="shared" si="36"/>
        <v>76812.5</v>
      </c>
      <c r="D46" s="2">
        <f t="shared" si="36"/>
        <v>82087.5</v>
      </c>
      <c r="E46" s="2">
        <f t="shared" si="36"/>
        <v>87395</v>
      </c>
      <c r="F46" s="2">
        <f t="shared" si="36"/>
        <v>92697.5</v>
      </c>
      <c r="G46" s="2">
        <f t="shared" si="36"/>
        <v>98037.5</v>
      </c>
      <c r="H46" s="2">
        <f t="shared" si="36"/>
        <v>103410</v>
      </c>
      <c r="I46" s="2">
        <f t="shared" si="36"/>
        <v>108815</v>
      </c>
      <c r="J46" s="2">
        <f t="shared" si="36"/>
        <v>114252.5</v>
      </c>
      <c r="K46" s="2">
        <f t="shared" si="36"/>
        <v>119722.5</v>
      </c>
      <c r="L46" s="2">
        <f t="shared" si="36"/>
        <v>125225</v>
      </c>
      <c r="M46" s="2">
        <f t="shared" si="36"/>
        <v>130760</v>
      </c>
      <c r="N46" s="2">
        <f t="shared" si="36"/>
        <v>136365</v>
      </c>
      <c r="O46" s="2"/>
    </row>
    <row r="47" spans="1:15" x14ac:dyDescent="0.35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5" x14ac:dyDescent="0.35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x14ac:dyDescent="0.35">
      <c r="A49" t="s">
        <v>73</v>
      </c>
      <c r="C49" s="2">
        <f>C7</f>
        <v>15750</v>
      </c>
      <c r="D49" s="2">
        <f t="shared" ref="D49:N49" si="37">D7</f>
        <v>15800</v>
      </c>
      <c r="E49" s="2">
        <f t="shared" si="37"/>
        <v>15850</v>
      </c>
      <c r="F49" s="2">
        <f t="shared" si="37"/>
        <v>15850</v>
      </c>
      <c r="G49" s="2">
        <f t="shared" si="37"/>
        <v>15900</v>
      </c>
      <c r="H49" s="2">
        <f t="shared" si="37"/>
        <v>15950</v>
      </c>
      <c r="I49" s="2">
        <f t="shared" si="37"/>
        <v>16000</v>
      </c>
      <c r="J49" s="2">
        <f t="shared" si="37"/>
        <v>16050</v>
      </c>
      <c r="K49" s="2">
        <f t="shared" si="37"/>
        <v>16100</v>
      </c>
      <c r="L49" s="2">
        <f t="shared" si="37"/>
        <v>16150</v>
      </c>
      <c r="M49" s="2">
        <f t="shared" si="37"/>
        <v>16200</v>
      </c>
      <c r="N49" s="2">
        <f t="shared" si="37"/>
        <v>16300</v>
      </c>
    </row>
    <row r="50" spans="1:14" x14ac:dyDescent="0.35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x14ac:dyDescent="0.35">
      <c r="A51" t="s">
        <v>26</v>
      </c>
      <c r="C51" s="2">
        <f>C49*'Control Panel'!$B$11</f>
        <v>5512.5</v>
      </c>
      <c r="D51" s="2">
        <f>D49*'Control Panel'!$B$11</f>
        <v>5530</v>
      </c>
      <c r="E51" s="2">
        <f>E49*'Control Panel'!$B$11</f>
        <v>5547.5</v>
      </c>
      <c r="F51" s="2">
        <f>F49*'Control Panel'!$B$11</f>
        <v>5547.5</v>
      </c>
      <c r="G51" s="2">
        <f>G49*'Control Panel'!$B$11</f>
        <v>5565</v>
      </c>
      <c r="H51" s="2">
        <f>H49*'Control Panel'!$B$11</f>
        <v>5582.5</v>
      </c>
      <c r="I51" s="2">
        <f>I49*'Control Panel'!$B$11</f>
        <v>5600</v>
      </c>
      <c r="J51" s="2">
        <f>J49*'Control Panel'!$B$11</f>
        <v>5617.5</v>
      </c>
      <c r="K51" s="2">
        <f>K49*'Control Panel'!$B$11</f>
        <v>5635</v>
      </c>
      <c r="L51" s="2">
        <f>L49*'Control Panel'!$B$11</f>
        <v>5652.5</v>
      </c>
      <c r="M51" s="2">
        <f>M49*'Control Panel'!$B$11</f>
        <v>5670</v>
      </c>
      <c r="N51" s="2">
        <f>N49*'Control Panel'!$B$11</f>
        <v>5705</v>
      </c>
    </row>
    <row r="52" spans="1:14" x14ac:dyDescent="0.35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x14ac:dyDescent="0.35">
      <c r="A53" t="s">
        <v>91</v>
      </c>
      <c r="C53" s="2">
        <f>C49-C51</f>
        <v>10237.5</v>
      </c>
      <c r="D53" s="2">
        <f t="shared" ref="D53:N53" si="38">D49-D51</f>
        <v>10270</v>
      </c>
      <c r="E53" s="2">
        <f t="shared" si="38"/>
        <v>10302.5</v>
      </c>
      <c r="F53" s="2">
        <f t="shared" si="38"/>
        <v>10302.5</v>
      </c>
      <c r="G53" s="2">
        <f t="shared" si="38"/>
        <v>10335</v>
      </c>
      <c r="H53" s="2">
        <f t="shared" si="38"/>
        <v>10367.5</v>
      </c>
      <c r="I53" s="2">
        <f t="shared" si="38"/>
        <v>10400</v>
      </c>
      <c r="J53" s="2">
        <f t="shared" si="38"/>
        <v>10432.5</v>
      </c>
      <c r="K53" s="2">
        <f t="shared" si="38"/>
        <v>10465</v>
      </c>
      <c r="L53" s="2">
        <f t="shared" si="38"/>
        <v>10497.5</v>
      </c>
      <c r="M53" s="2">
        <f t="shared" si="38"/>
        <v>10530</v>
      </c>
      <c r="N53" s="2">
        <f t="shared" si="38"/>
        <v>10595</v>
      </c>
    </row>
    <row r="54" spans="1:14" x14ac:dyDescent="0.3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x14ac:dyDescent="0.35">
      <c r="A55" t="s">
        <v>92</v>
      </c>
      <c r="C55" s="2">
        <f>C38+B38</f>
        <v>110000</v>
      </c>
      <c r="D55" s="2">
        <f t="shared" ref="D55:N55" si="39">D38</f>
        <v>5000</v>
      </c>
      <c r="E55" s="2">
        <f t="shared" si="39"/>
        <v>5000</v>
      </c>
      <c r="F55" s="2">
        <f t="shared" si="39"/>
        <v>5000</v>
      </c>
      <c r="G55" s="2">
        <f t="shared" si="39"/>
        <v>5000</v>
      </c>
      <c r="H55" s="2">
        <f t="shared" si="39"/>
        <v>5000</v>
      </c>
      <c r="I55" s="2">
        <f t="shared" si="39"/>
        <v>5000</v>
      </c>
      <c r="J55" s="2">
        <f t="shared" si="39"/>
        <v>5000</v>
      </c>
      <c r="K55" s="2">
        <f t="shared" si="39"/>
        <v>5000</v>
      </c>
      <c r="L55" s="2">
        <f t="shared" si="39"/>
        <v>5000</v>
      </c>
      <c r="M55" s="2">
        <f t="shared" si="39"/>
        <v>5000</v>
      </c>
      <c r="N55" s="2">
        <f t="shared" si="39"/>
        <v>5000</v>
      </c>
    </row>
    <row r="56" spans="1:14" x14ac:dyDescent="0.35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x14ac:dyDescent="0.35">
      <c r="A57" t="s">
        <v>93</v>
      </c>
      <c r="C57" s="2">
        <f>C53-C55</f>
        <v>-99762.5</v>
      </c>
      <c r="D57" s="2">
        <f t="shared" ref="D57:N57" si="40">D53-D55</f>
        <v>5270</v>
      </c>
      <c r="E57" s="2">
        <f t="shared" si="40"/>
        <v>5302.5</v>
      </c>
      <c r="F57" s="2">
        <f t="shared" si="40"/>
        <v>5302.5</v>
      </c>
      <c r="G57" s="2">
        <f t="shared" si="40"/>
        <v>5335</v>
      </c>
      <c r="H57" s="2">
        <f t="shared" si="40"/>
        <v>5367.5</v>
      </c>
      <c r="I57" s="2">
        <f t="shared" si="40"/>
        <v>5400</v>
      </c>
      <c r="J57" s="2">
        <f t="shared" si="40"/>
        <v>5432.5</v>
      </c>
      <c r="K57" s="2">
        <f t="shared" si="40"/>
        <v>5465</v>
      </c>
      <c r="L57" s="2">
        <f t="shared" si="40"/>
        <v>5497.5</v>
      </c>
      <c r="M57" s="2">
        <f t="shared" si="40"/>
        <v>5530</v>
      </c>
      <c r="N57" s="2">
        <f t="shared" si="40"/>
        <v>5595</v>
      </c>
    </row>
    <row r="59" spans="1:14" x14ac:dyDescent="0.35">
      <c r="A59" t="s">
        <v>94</v>
      </c>
      <c r="C59" s="3">
        <f>C57</f>
        <v>-99762.5</v>
      </c>
      <c r="D59" s="3">
        <f>C59+D57</f>
        <v>-94492.5</v>
      </c>
      <c r="E59" s="3">
        <f t="shared" ref="E59:N59" si="41">D59+E57</f>
        <v>-89190</v>
      </c>
      <c r="F59" s="3">
        <f t="shared" si="41"/>
        <v>-83887.5</v>
      </c>
      <c r="G59" s="3">
        <f t="shared" si="41"/>
        <v>-78552.5</v>
      </c>
      <c r="H59" s="3">
        <f t="shared" si="41"/>
        <v>-73185</v>
      </c>
      <c r="I59" s="3">
        <f t="shared" si="41"/>
        <v>-67785</v>
      </c>
      <c r="J59" s="3">
        <f t="shared" si="41"/>
        <v>-62352.5</v>
      </c>
      <c r="K59" s="3">
        <f t="shared" si="41"/>
        <v>-56887.5</v>
      </c>
      <c r="L59" s="3">
        <f t="shared" si="41"/>
        <v>-51390</v>
      </c>
      <c r="M59" s="3">
        <f t="shared" si="41"/>
        <v>-45860</v>
      </c>
      <c r="N59" s="3">
        <f t="shared" si="41"/>
        <v>-40265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E64E3-8953-CC43-AC81-FD404255139D}">
  <dimension ref="A1:H35"/>
  <sheetViews>
    <sheetView workbookViewId="0">
      <selection activeCell="D19" sqref="D19"/>
    </sheetView>
  </sheetViews>
  <sheetFormatPr baseColWidth="10" defaultColWidth="11" defaultRowHeight="15.5" x14ac:dyDescent="0.35"/>
  <cols>
    <col min="1" max="1" width="25.83203125" bestFit="1" customWidth="1"/>
    <col min="2" max="2" width="12.83203125" bestFit="1" customWidth="1"/>
    <col min="3" max="3" width="12.58203125" bestFit="1" customWidth="1"/>
    <col min="4" max="4" width="11" bestFit="1" customWidth="1"/>
    <col min="5" max="5" width="11.58203125" bestFit="1" customWidth="1"/>
    <col min="6" max="6" width="11.33203125" bestFit="1" customWidth="1"/>
  </cols>
  <sheetData>
    <row r="1" spans="1:6" x14ac:dyDescent="0.35">
      <c r="A1" s="28" t="s">
        <v>95</v>
      </c>
      <c r="B1" s="28"/>
      <c r="C1" s="28"/>
      <c r="D1" s="28"/>
      <c r="E1" s="28"/>
      <c r="F1" s="28"/>
    </row>
    <row r="2" spans="1:6" x14ac:dyDescent="0.35">
      <c r="B2">
        <v>1</v>
      </c>
      <c r="C2">
        <v>2</v>
      </c>
      <c r="D2">
        <v>3</v>
      </c>
      <c r="E2">
        <v>4</v>
      </c>
      <c r="F2">
        <v>5</v>
      </c>
    </row>
    <row r="3" spans="1:6" x14ac:dyDescent="0.35">
      <c r="A3" t="s">
        <v>73</v>
      </c>
      <c r="B3" s="2">
        <f>'Year 1 Cash Budget'!O7</f>
        <v>191900</v>
      </c>
      <c r="C3" s="2">
        <f>'Year 2 Cash Budget'!N7</f>
        <v>201450</v>
      </c>
      <c r="D3" s="2">
        <f>'Year 3 Cash Budget'!N7</f>
        <v>218500</v>
      </c>
      <c r="E3" s="2">
        <f>'Year 4 Cash Budget'!N7</f>
        <v>249200</v>
      </c>
      <c r="F3" s="2">
        <f>'Year 5 Cash Budget'!N7</f>
        <v>304250</v>
      </c>
    </row>
    <row r="4" spans="1:6" x14ac:dyDescent="0.35">
      <c r="B4" s="2"/>
      <c r="C4" s="2"/>
      <c r="D4" s="2"/>
      <c r="E4" s="2"/>
      <c r="F4" s="2"/>
    </row>
    <row r="5" spans="1:6" x14ac:dyDescent="0.35">
      <c r="A5" t="s">
        <v>26</v>
      </c>
      <c r="B5" s="2">
        <f>'Control Panel'!$B$11*B3</f>
        <v>67165</v>
      </c>
      <c r="C5" s="2">
        <f>'Control Panel'!$B$11*C3</f>
        <v>70507.5</v>
      </c>
      <c r="D5" s="2">
        <f>'Control Panel'!$B$11*D3</f>
        <v>76475</v>
      </c>
      <c r="E5" s="2">
        <f>'Control Panel'!$B$11*E3</f>
        <v>87220</v>
      </c>
      <c r="F5" s="2">
        <f>'Control Panel'!$B$11*F3</f>
        <v>106487.5</v>
      </c>
    </row>
    <row r="6" spans="1:6" x14ac:dyDescent="0.35">
      <c r="B6" s="2"/>
      <c r="C6" s="2"/>
      <c r="D6" s="2"/>
      <c r="E6" s="2"/>
      <c r="F6" s="2"/>
    </row>
    <row r="7" spans="1:6" x14ac:dyDescent="0.35">
      <c r="A7" t="s">
        <v>91</v>
      </c>
      <c r="B7" s="2">
        <f>B3-B5</f>
        <v>124735</v>
      </c>
      <c r="C7" s="2">
        <f t="shared" ref="C7:F7" si="0">C3-C5</f>
        <v>130942.5</v>
      </c>
      <c r="D7" s="2">
        <f t="shared" si="0"/>
        <v>142025</v>
      </c>
      <c r="E7" s="2">
        <f t="shared" si="0"/>
        <v>161980</v>
      </c>
      <c r="F7" s="2">
        <f t="shared" si="0"/>
        <v>197762.5</v>
      </c>
    </row>
    <row r="8" spans="1:6" x14ac:dyDescent="0.35">
      <c r="B8" s="2"/>
      <c r="C8" s="2"/>
      <c r="D8" s="2"/>
      <c r="E8" s="2"/>
      <c r="F8" s="2"/>
    </row>
    <row r="9" spans="1:6" x14ac:dyDescent="0.35">
      <c r="A9" t="s">
        <v>92</v>
      </c>
      <c r="B9" s="2">
        <f>'Year 1 Cash Budget'!O38</f>
        <v>165000</v>
      </c>
      <c r="C9" s="2">
        <f>'Year 2 Cash Budget'!N38</f>
        <v>60000</v>
      </c>
      <c r="D9" s="2">
        <f>'Year 3 Cash Budget'!N38</f>
        <v>60000</v>
      </c>
      <c r="E9" s="2">
        <f>'Year 4 Cash Budget'!N38</f>
        <v>60000</v>
      </c>
      <c r="F9" s="2">
        <f>'Year 5 Cash Budget'!N38</f>
        <v>60000</v>
      </c>
    </row>
    <row r="10" spans="1:6" x14ac:dyDescent="0.35">
      <c r="B10" s="2"/>
      <c r="C10" s="2"/>
      <c r="D10" s="2"/>
      <c r="E10" s="2"/>
      <c r="F10" s="2"/>
    </row>
    <row r="11" spans="1:6" x14ac:dyDescent="0.35">
      <c r="A11" t="s">
        <v>96</v>
      </c>
      <c r="B11" s="2">
        <f>IF(B7-B9&lt;=0,0,'Control Panel'!$B$16*(B7-B9))</f>
        <v>0</v>
      </c>
      <c r="C11" s="2">
        <f>IF(C7-C9&lt;=0,0,'Control Panel'!$B$16*(C7-C9))</f>
        <v>14188.5</v>
      </c>
      <c r="D11" s="2">
        <f>IF(D7-D9&lt;=0,0,'Control Panel'!$B$16*(D7-D9))</f>
        <v>16405</v>
      </c>
      <c r="E11" s="2">
        <f>IF(E7-E9&lt;=0,0,'Control Panel'!$B$16*(E7-E9))</f>
        <v>20396</v>
      </c>
      <c r="F11" s="2">
        <f>IF(F7-F9&lt;=0,0,'Control Panel'!$B$16*(F7-F9))</f>
        <v>27552.5</v>
      </c>
    </row>
    <row r="12" spans="1:6" x14ac:dyDescent="0.35">
      <c r="B12" s="2"/>
      <c r="C12" s="2"/>
      <c r="D12" s="2"/>
      <c r="E12" s="2"/>
      <c r="F12" s="2"/>
    </row>
    <row r="13" spans="1:6" x14ac:dyDescent="0.35">
      <c r="A13" t="s">
        <v>93</v>
      </c>
      <c r="B13" s="2">
        <f>B7-B9-B11</f>
        <v>-40265</v>
      </c>
      <c r="C13" s="2">
        <f t="shared" ref="C13:F13" si="1">C7-C9-C11</f>
        <v>56754</v>
      </c>
      <c r="D13" s="2">
        <f t="shared" si="1"/>
        <v>65620</v>
      </c>
      <c r="E13" s="2">
        <f t="shared" si="1"/>
        <v>81584</v>
      </c>
      <c r="F13" s="2">
        <f t="shared" si="1"/>
        <v>110210</v>
      </c>
    </row>
    <row r="15" spans="1:6" x14ac:dyDescent="0.35">
      <c r="A15" s="28" t="s">
        <v>97</v>
      </c>
      <c r="B15" s="28"/>
      <c r="C15" s="28"/>
      <c r="D15" s="28"/>
      <c r="E15" s="28"/>
      <c r="F15" s="28"/>
    </row>
    <row r="16" spans="1:6" x14ac:dyDescent="0.35">
      <c r="B16">
        <v>1</v>
      </c>
      <c r="C16">
        <v>2</v>
      </c>
      <c r="D16">
        <v>3</v>
      </c>
      <c r="E16">
        <v>4</v>
      </c>
      <c r="F16">
        <v>5</v>
      </c>
    </row>
    <row r="17" spans="1:8" x14ac:dyDescent="0.35">
      <c r="A17" t="s">
        <v>98</v>
      </c>
      <c r="B17" s="2">
        <f>'Year 1 Cash Budget'!O44</f>
        <v>10000</v>
      </c>
      <c r="C17" s="2">
        <f>'Year 2 Cash Budget'!O44+B17</f>
        <v>10000</v>
      </c>
      <c r="D17" s="2">
        <f>'Year 3 Cash Budget'!O44+C17</f>
        <v>10000</v>
      </c>
      <c r="E17" s="2">
        <f>'Year 4 Cash Budget'!O44+D17</f>
        <v>10000</v>
      </c>
      <c r="F17" s="2">
        <f>'Year 5 Cash Budget'!O44+E17</f>
        <v>10000</v>
      </c>
    </row>
    <row r="18" spans="1:8" x14ac:dyDescent="0.35">
      <c r="B18" s="2"/>
      <c r="C18" s="2"/>
      <c r="D18" s="2"/>
      <c r="E18" s="2"/>
      <c r="F18" s="2"/>
    </row>
    <row r="19" spans="1:8" x14ac:dyDescent="0.35">
      <c r="A19" t="s">
        <v>23</v>
      </c>
      <c r="B19" s="2">
        <f>'Year 1 Cash Budget'!N46-B11</f>
        <v>136365</v>
      </c>
      <c r="C19" s="2">
        <f>'Year 2 Cash Budget'!M46-C11</f>
        <v>193219</v>
      </c>
      <c r="D19" s="2">
        <f>'Year 3 Cash Budget'!M46-D11</f>
        <v>259024</v>
      </c>
      <c r="E19" s="2">
        <f>'Year 4 Cash Budget'!M46-E11</f>
        <v>340938</v>
      </c>
      <c r="F19" s="2">
        <f>'Year 5 Cash Budget'!M46-F11</f>
        <v>451738</v>
      </c>
    </row>
    <row r="20" spans="1:8" x14ac:dyDescent="0.35">
      <c r="A20" t="s">
        <v>74</v>
      </c>
      <c r="B20" s="2">
        <f>'Year 1 Cash Budget'!Q7</f>
        <v>4075</v>
      </c>
      <c r="C20" s="2">
        <f>'Year 2 Cash Budget'!P7</f>
        <v>4325</v>
      </c>
      <c r="D20" s="2">
        <f>'Year 3 Cash Budget'!P7</f>
        <v>4787.5</v>
      </c>
      <c r="E20" s="2">
        <f>'Year 4 Cash Budget'!P7</f>
        <v>5612.5</v>
      </c>
      <c r="F20" s="2">
        <f>'Year 5 Cash Budget'!P7</f>
        <v>7087.5</v>
      </c>
    </row>
    <row r="21" spans="1:8" x14ac:dyDescent="0.35">
      <c r="B21" s="2"/>
      <c r="C21" s="2"/>
      <c r="D21" s="2"/>
      <c r="E21" s="2"/>
      <c r="F21" s="2"/>
    </row>
    <row r="22" spans="1:8" x14ac:dyDescent="0.35">
      <c r="A22" t="s">
        <v>85</v>
      </c>
      <c r="B22" s="2">
        <f>'Year 1 Cash Budget'!Q20</f>
        <v>5705</v>
      </c>
      <c r="C22" s="2">
        <f>'Year 2 Cash Budget'!P20</f>
        <v>6055</v>
      </c>
      <c r="D22" s="2">
        <f>'Year 3 Cash Budget'!P20</f>
        <v>6702.5</v>
      </c>
      <c r="E22" s="2">
        <f>'Year 4 Cash Budget'!P20</f>
        <v>7857.4999999999991</v>
      </c>
      <c r="F22" s="2">
        <f>'Year 5 Cash Budget'!P20</f>
        <v>9922.5</v>
      </c>
    </row>
    <row r="23" spans="1:8" x14ac:dyDescent="0.35">
      <c r="B23" s="2"/>
      <c r="C23" s="2"/>
      <c r="D23" s="2"/>
      <c r="E23" s="2"/>
      <c r="F23" s="2"/>
    </row>
    <row r="24" spans="1:8" x14ac:dyDescent="0.35">
      <c r="A24" t="s">
        <v>99</v>
      </c>
      <c r="B24" s="2">
        <f>B17+B19+B20-B22</f>
        <v>144735</v>
      </c>
      <c r="C24" s="2">
        <f t="shared" ref="C24:F24" si="2">C17+C19+C20-C22</f>
        <v>201489</v>
      </c>
      <c r="D24" s="2">
        <f t="shared" si="2"/>
        <v>267109</v>
      </c>
      <c r="E24" s="2">
        <f t="shared" si="2"/>
        <v>348693</v>
      </c>
      <c r="F24" s="2">
        <f t="shared" si="2"/>
        <v>458903</v>
      </c>
    </row>
    <row r="25" spans="1:8" x14ac:dyDescent="0.35">
      <c r="B25" s="2"/>
      <c r="C25" s="2"/>
      <c r="D25" s="2"/>
      <c r="E25" s="2"/>
      <c r="F25" s="2"/>
    </row>
    <row r="26" spans="1:8" x14ac:dyDescent="0.35">
      <c r="A26" t="s">
        <v>100</v>
      </c>
      <c r="B26" s="2">
        <f>B13</f>
        <v>-40265</v>
      </c>
      <c r="C26" s="2">
        <f>C13</f>
        <v>56754</v>
      </c>
      <c r="D26" s="2">
        <f>D13</f>
        <v>65620</v>
      </c>
      <c r="E26" s="2">
        <f>E13</f>
        <v>81584</v>
      </c>
      <c r="F26" s="2">
        <f>F13</f>
        <v>110210</v>
      </c>
    </row>
    <row r="27" spans="1:8" x14ac:dyDescent="0.35">
      <c r="A27" t="s">
        <v>101</v>
      </c>
      <c r="B27" s="2">
        <v>0</v>
      </c>
      <c r="C27" s="2">
        <f>SUM(B26:B27)</f>
        <v>-40265</v>
      </c>
      <c r="D27" s="2">
        <f t="shared" ref="D27:F27" si="3">SUM(C26:C27)</f>
        <v>16489</v>
      </c>
      <c r="E27" s="2">
        <f t="shared" si="3"/>
        <v>82109</v>
      </c>
      <c r="F27" s="2">
        <f t="shared" si="3"/>
        <v>163693</v>
      </c>
      <c r="H27" s="3"/>
    </row>
    <row r="28" spans="1:8" x14ac:dyDescent="0.35">
      <c r="A28" t="s">
        <v>102</v>
      </c>
      <c r="B28" s="2">
        <f>'Year 1 Cash Budget'!O16</f>
        <v>185000</v>
      </c>
      <c r="C28" s="2">
        <f>'Year 2 Cash Budget'!P16+B28</f>
        <v>185000</v>
      </c>
      <c r="D28" s="2">
        <f>'Year 3 Cash Budget'!P16+C28</f>
        <v>185000</v>
      </c>
      <c r="E28" s="2">
        <f>'Year 4 Cash Budget'!P16+D28</f>
        <v>185000</v>
      </c>
      <c r="F28" s="2">
        <f>'Year 5 Cash Budget'!P16+E28</f>
        <v>185000</v>
      </c>
    </row>
    <row r="29" spans="1:8" x14ac:dyDescent="0.35">
      <c r="A29" t="s">
        <v>99</v>
      </c>
      <c r="B29" s="2">
        <f>SUM(B26:B28)</f>
        <v>144735</v>
      </c>
      <c r="C29" s="2">
        <f t="shared" ref="C29:F29" si="4">SUM(C26:C28)</f>
        <v>201489</v>
      </c>
      <c r="D29" s="2">
        <f t="shared" si="4"/>
        <v>267109</v>
      </c>
      <c r="E29" s="2">
        <f t="shared" si="4"/>
        <v>348693</v>
      </c>
      <c r="F29" s="2">
        <f t="shared" si="4"/>
        <v>458903</v>
      </c>
    </row>
    <row r="31" spans="1:8" x14ac:dyDescent="0.35">
      <c r="A31" t="s">
        <v>103</v>
      </c>
      <c r="B31" s="12" t="str">
        <f>IF(B24&gt;=B28,"Yes","No")</f>
        <v>No</v>
      </c>
      <c r="C31" s="12" t="str">
        <f>IF(AND(C24&gt;=C28,B24&lt;B28),"Yes","No")</f>
        <v>Yes</v>
      </c>
      <c r="D31" s="12" t="str">
        <f t="shared" ref="D31:F31" si="5">IF(AND(D24&gt;=D28,C24&lt;C28),"Yes","No")</f>
        <v>No</v>
      </c>
      <c r="E31" s="12" t="str">
        <f t="shared" si="5"/>
        <v>No</v>
      </c>
      <c r="F31" s="12" t="str">
        <f t="shared" si="5"/>
        <v>No</v>
      </c>
    </row>
    <row r="32" spans="1:8" x14ac:dyDescent="0.35">
      <c r="A32" t="s">
        <v>28</v>
      </c>
      <c r="B32" s="19">
        <f>B28*'Control Panel'!$B$15</f>
        <v>22200</v>
      </c>
      <c r="C32" s="19">
        <f>B32+(C28*'Control Panel'!$B$15)</f>
        <v>44400</v>
      </c>
      <c r="D32" s="19">
        <f>C32+(D28*'Control Panel'!$B$15)</f>
        <v>66600</v>
      </c>
      <c r="E32" s="19">
        <f>D32+(E28*'Control Panel'!$B$15)</f>
        <v>88800</v>
      </c>
      <c r="F32" s="19">
        <f>E32+(F28*'Control Panel'!$B$15)</f>
        <v>111000</v>
      </c>
    </row>
    <row r="33" spans="1:6" x14ac:dyDescent="0.35">
      <c r="A33" t="s">
        <v>104</v>
      </c>
      <c r="B33" s="19" t="str">
        <f>IF(B35&lt;B19,"Yes","No")</f>
        <v>No</v>
      </c>
      <c r="C33" s="19" t="str">
        <f>IF(AND(C35&lt;C19,B35&lt;B19),"Yes","No")</f>
        <v>No</v>
      </c>
      <c r="D33" s="19" t="str">
        <f>IF(AND(D35&lt;D19,C35&lt;C19),"Yes","No")</f>
        <v>No</v>
      </c>
      <c r="E33" s="19" t="str">
        <f>IF(AND(E35&lt;E19,D35&lt;D19),"Yes","No")</f>
        <v>Yes</v>
      </c>
      <c r="F33" s="19" t="str">
        <f>IF(AND(F35&lt;F19,E35&lt;E19),"Yes","No")</f>
        <v>Yes</v>
      </c>
    </row>
    <row r="34" spans="1:6" x14ac:dyDescent="0.35">
      <c r="B34" s="12" t="str">
        <f>'Performance Dashboard'!B1</f>
        <v>Year 1</v>
      </c>
      <c r="C34" s="12" t="str">
        <f>'Performance Dashboard'!C1</f>
        <v>Year 2</v>
      </c>
      <c r="D34" s="12" t="str">
        <f>'Performance Dashboard'!D1</f>
        <v>Year 3</v>
      </c>
      <c r="E34" s="12" t="str">
        <f>'Performance Dashboard'!E1</f>
        <v>Year 4</v>
      </c>
      <c r="F34" s="12" t="str">
        <f>'Performance Dashboard'!F1</f>
        <v>Year 5</v>
      </c>
    </row>
    <row r="35" spans="1:6" x14ac:dyDescent="0.35">
      <c r="A35" t="s">
        <v>105</v>
      </c>
      <c r="B35" s="19">
        <f>B32+B28</f>
        <v>207200</v>
      </c>
      <c r="C35" s="19">
        <f>C32+C28</f>
        <v>229400</v>
      </c>
      <c r="D35" s="19">
        <f>D32+D28</f>
        <v>251600</v>
      </c>
      <c r="E35" s="19">
        <f>E32+E28</f>
        <v>273800</v>
      </c>
      <c r="F35" s="19">
        <f>F32+F28</f>
        <v>296000</v>
      </c>
    </row>
  </sheetData>
  <mergeCells count="2">
    <mergeCell ref="A15:F15"/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5DCA-F95B-0A43-9960-CDB701662C9F}">
  <dimension ref="A1:P59"/>
  <sheetViews>
    <sheetView topLeftCell="A2" zoomScaleNormal="100" workbookViewId="0">
      <selection activeCell="B9" sqref="B9"/>
    </sheetView>
  </sheetViews>
  <sheetFormatPr baseColWidth="10" defaultColWidth="11" defaultRowHeight="15.5" x14ac:dyDescent="0.35"/>
  <cols>
    <col min="1" max="1" width="35.83203125" bestFit="1" customWidth="1"/>
    <col min="2" max="13" width="9" bestFit="1" customWidth="1"/>
    <col min="14" max="14" width="10.08203125" bestFit="1" customWidth="1"/>
    <col min="15" max="15" width="8.5" bestFit="1" customWidth="1"/>
    <col min="16" max="16" width="7.58203125" bestFit="1" customWidth="1"/>
  </cols>
  <sheetData>
    <row r="1" spans="1:16" x14ac:dyDescent="0.35">
      <c r="B1" s="12" t="s">
        <v>106</v>
      </c>
      <c r="C1" s="12" t="s">
        <v>107</v>
      </c>
      <c r="D1" s="12" t="s">
        <v>108</v>
      </c>
      <c r="E1" s="12" t="s">
        <v>109</v>
      </c>
      <c r="F1" s="12" t="s">
        <v>110</v>
      </c>
      <c r="G1" s="12" t="s">
        <v>111</v>
      </c>
      <c r="H1" s="12" t="s">
        <v>112</v>
      </c>
      <c r="I1" s="12" t="s">
        <v>113</v>
      </c>
      <c r="J1" s="12" t="s">
        <v>114</v>
      </c>
      <c r="K1" s="12" t="s">
        <v>115</v>
      </c>
      <c r="L1" s="12" t="s">
        <v>116</v>
      </c>
      <c r="M1" s="12" t="s">
        <v>117</v>
      </c>
      <c r="N1" s="12" t="s">
        <v>1</v>
      </c>
    </row>
    <row r="2" spans="1:16" x14ac:dyDescent="0.35">
      <c r="A2" s="9" t="s">
        <v>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6" x14ac:dyDescent="0.35">
      <c r="A3" t="s">
        <v>70</v>
      </c>
      <c r="B3" s="2">
        <f>'Control Panel'!$B$1</f>
        <v>50</v>
      </c>
      <c r="C3" s="2">
        <f t="shared" ref="C3:M3" si="0">B3</f>
        <v>50</v>
      </c>
      <c r="D3" s="2">
        <f t="shared" si="0"/>
        <v>50</v>
      </c>
      <c r="E3" s="2">
        <f t="shared" si="0"/>
        <v>50</v>
      </c>
      <c r="F3" s="2">
        <f t="shared" si="0"/>
        <v>50</v>
      </c>
      <c r="G3" s="2">
        <f t="shared" si="0"/>
        <v>50</v>
      </c>
      <c r="H3" s="2">
        <f t="shared" si="0"/>
        <v>50</v>
      </c>
      <c r="I3" s="2">
        <f t="shared" si="0"/>
        <v>50</v>
      </c>
      <c r="J3" s="2">
        <f t="shared" si="0"/>
        <v>50</v>
      </c>
      <c r="K3" s="2">
        <f t="shared" si="0"/>
        <v>50</v>
      </c>
      <c r="L3" s="2">
        <f t="shared" si="0"/>
        <v>50</v>
      </c>
      <c r="M3" s="2">
        <f t="shared" si="0"/>
        <v>50</v>
      </c>
      <c r="N3" s="2"/>
    </row>
    <row r="4" spans="1:16" x14ac:dyDescent="0.35">
      <c r="A4" t="s">
        <v>10</v>
      </c>
      <c r="B4" s="2">
        <f>ROUND((('Control Panel'!$B$2*(B5+1))*B6),0)</f>
        <v>327</v>
      </c>
      <c r="C4" s="2">
        <f>ROUND((('Control Panel'!$B$2*(C5+1))*C6),0)</f>
        <v>328</v>
      </c>
      <c r="D4" s="2">
        <f>ROUND((('Control Panel'!$B$2*(D5+1))*D6),0)</f>
        <v>330</v>
      </c>
      <c r="E4" s="2">
        <f>ROUND((('Control Panel'!$B$2*(E5+1))*E6),0)</f>
        <v>331</v>
      </c>
      <c r="F4" s="2">
        <f>ROUND((('Control Panel'!$B$2*(F5+1))*F6),0)</f>
        <v>333</v>
      </c>
      <c r="G4" s="2">
        <f>ROUND((('Control Panel'!$B$2*(G5+1))*G6),0)</f>
        <v>334</v>
      </c>
      <c r="H4" s="2">
        <f>ROUND((('Control Panel'!$B$2*(H5+1))*H6),0)</f>
        <v>336</v>
      </c>
      <c r="I4" s="2">
        <f>ROUND((('Control Panel'!$B$2*(I5+1))*I6),0)</f>
        <v>338</v>
      </c>
      <c r="J4" s="2">
        <f>ROUND((('Control Panel'!$B$2*(J5+1))*J6),0)</f>
        <v>340</v>
      </c>
      <c r="K4" s="2">
        <f>ROUND((('Control Panel'!$B$2*(K5+1))*K6),0)</f>
        <v>342</v>
      </c>
      <c r="L4" s="2">
        <f>ROUND((('Control Panel'!$B$2*(L5+1))*L6),0)</f>
        <v>344</v>
      </c>
      <c r="M4" s="2">
        <f>ROUND((('Control Panel'!$B$2*(M5+1))*M6),0)</f>
        <v>346</v>
      </c>
      <c r="N4" s="2">
        <f>SUM(B4:M4)</f>
        <v>4029</v>
      </c>
    </row>
    <row r="5" spans="1:16" x14ac:dyDescent="0.35">
      <c r="A5" t="s">
        <v>71</v>
      </c>
      <c r="B5" s="8">
        <f>'Year 1 Cash Budget'!N5*(1+'Control Panel'!$B$4)</f>
        <v>8.9792816301106526E-2</v>
      </c>
      <c r="C5" s="8">
        <f>B5*(1+'Control Panel'!$B$4)</f>
        <v>9.4282457116161858E-2</v>
      </c>
      <c r="D5" s="7">
        <f t="shared" ref="D5:M5" si="1">C5*1.05</f>
        <v>9.899657997196995E-2</v>
      </c>
      <c r="E5" s="7">
        <f t="shared" si="1"/>
        <v>0.10394640897056845</v>
      </c>
      <c r="F5" s="7">
        <f t="shared" si="1"/>
        <v>0.10914372941909688</v>
      </c>
      <c r="G5" s="7">
        <f t="shared" si="1"/>
        <v>0.11460091589005172</v>
      </c>
      <c r="H5" s="7">
        <f t="shared" si="1"/>
        <v>0.12033096168455432</v>
      </c>
      <c r="I5" s="7">
        <f t="shared" si="1"/>
        <v>0.12634750976878203</v>
      </c>
      <c r="J5" s="7">
        <f t="shared" si="1"/>
        <v>0.13266488525722114</v>
      </c>
      <c r="K5" s="7">
        <f t="shared" si="1"/>
        <v>0.13929812952008222</v>
      </c>
      <c r="L5" s="7">
        <f t="shared" si="1"/>
        <v>0.14626303599608634</v>
      </c>
      <c r="M5" s="7">
        <f t="shared" si="1"/>
        <v>0.15357618779589066</v>
      </c>
      <c r="N5" s="2"/>
    </row>
    <row r="6" spans="1:16" x14ac:dyDescent="0.35">
      <c r="A6" t="s">
        <v>72</v>
      </c>
      <c r="B6" s="7">
        <f>'Year 1 Cash Budget'!C6</f>
        <v>1</v>
      </c>
      <c r="C6" s="7">
        <f>'Year 1 Cash Budget'!D6</f>
        <v>1</v>
      </c>
      <c r="D6" s="7">
        <f>'Year 1 Cash Budget'!E6</f>
        <v>1</v>
      </c>
      <c r="E6" s="7">
        <f>'Year 1 Cash Budget'!F6</f>
        <v>1</v>
      </c>
      <c r="F6" s="7">
        <f>'Year 1 Cash Budget'!G6</f>
        <v>1</v>
      </c>
      <c r="G6" s="7">
        <f>'Year 1 Cash Budget'!H6</f>
        <v>1</v>
      </c>
      <c r="H6" s="7">
        <f>'Year 1 Cash Budget'!I6</f>
        <v>1</v>
      </c>
      <c r="I6" s="7">
        <f>'Year 1 Cash Budget'!J6</f>
        <v>1</v>
      </c>
      <c r="J6" s="7">
        <f>'Year 1 Cash Budget'!K6</f>
        <v>1</v>
      </c>
      <c r="K6" s="7">
        <f>'Year 1 Cash Budget'!L6</f>
        <v>1</v>
      </c>
      <c r="L6" s="7">
        <f>'Year 1 Cash Budget'!M6</f>
        <v>1</v>
      </c>
      <c r="M6" s="7">
        <f>'Year 1 Cash Budget'!N6</f>
        <v>1</v>
      </c>
      <c r="N6" s="2"/>
    </row>
    <row r="7" spans="1:16" x14ac:dyDescent="0.35">
      <c r="A7" t="s">
        <v>73</v>
      </c>
      <c r="B7" s="2">
        <f>B3*B4</f>
        <v>16350</v>
      </c>
      <c r="C7" s="2">
        <f t="shared" ref="C7:M7" si="2">C3*C4</f>
        <v>16400</v>
      </c>
      <c r="D7" s="2">
        <f t="shared" si="2"/>
        <v>16500</v>
      </c>
      <c r="E7" s="2">
        <f t="shared" si="2"/>
        <v>16550</v>
      </c>
      <c r="F7" s="2">
        <f t="shared" si="2"/>
        <v>16650</v>
      </c>
      <c r="G7" s="2">
        <f t="shared" si="2"/>
        <v>16700</v>
      </c>
      <c r="H7" s="2">
        <f t="shared" si="2"/>
        <v>16800</v>
      </c>
      <c r="I7" s="2">
        <f t="shared" si="2"/>
        <v>16900</v>
      </c>
      <c r="J7" s="2">
        <f t="shared" si="2"/>
        <v>17000</v>
      </c>
      <c r="K7" s="2">
        <f t="shared" si="2"/>
        <v>17100</v>
      </c>
      <c r="L7" s="2">
        <f t="shared" si="2"/>
        <v>17200</v>
      </c>
      <c r="M7" s="2">
        <f t="shared" si="2"/>
        <v>17300</v>
      </c>
      <c r="N7" s="2">
        <f>SUM(B7:M7)</f>
        <v>201450</v>
      </c>
      <c r="O7" t="s">
        <v>74</v>
      </c>
      <c r="P7" s="2">
        <f>(M7*'Control Panel'!$B$8)*(1/4)+(M7*'Control Panel'!$B$9)</f>
        <v>4325</v>
      </c>
    </row>
    <row r="8" spans="1:16" x14ac:dyDescent="0.3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P8" s="3"/>
    </row>
    <row r="9" spans="1:16" x14ac:dyDescent="0.35">
      <c r="A9" t="s">
        <v>75</v>
      </c>
      <c r="B9" s="2">
        <f>'Financial Statements'!B19</f>
        <v>136365</v>
      </c>
      <c r="C9" s="2">
        <f>B46</f>
        <v>141997.5</v>
      </c>
      <c r="D9" s="2">
        <f t="shared" ref="D9:M9" si="3">C46</f>
        <v>147662.5</v>
      </c>
      <c r="E9" s="2">
        <f t="shared" si="3"/>
        <v>153397.5</v>
      </c>
      <c r="F9" s="2">
        <f t="shared" si="3"/>
        <v>159160</v>
      </c>
      <c r="G9" s="2">
        <f t="shared" si="3"/>
        <v>164992.5</v>
      </c>
      <c r="H9" s="2">
        <f t="shared" si="3"/>
        <v>170852.5</v>
      </c>
      <c r="I9" s="2">
        <f t="shared" si="3"/>
        <v>176782.5</v>
      </c>
      <c r="J9" s="2">
        <f t="shared" si="3"/>
        <v>182777.5</v>
      </c>
      <c r="K9" s="2">
        <f t="shared" si="3"/>
        <v>188837.5</v>
      </c>
      <c r="L9" s="2">
        <f t="shared" si="3"/>
        <v>194962.5</v>
      </c>
      <c r="M9" s="2">
        <f t="shared" si="3"/>
        <v>201152.5</v>
      </c>
      <c r="N9" s="2"/>
      <c r="P9" s="13"/>
    </row>
    <row r="10" spans="1:16" x14ac:dyDescent="0.35">
      <c r="A10" t="s">
        <v>76</v>
      </c>
      <c r="B10" s="2">
        <f>B7*'Control Panel'!$B$7</f>
        <v>0</v>
      </c>
      <c r="C10" s="2">
        <f>C7*'Control Panel'!$B$7</f>
        <v>0</v>
      </c>
      <c r="D10" s="2">
        <f>D7*'Control Panel'!$B$7</f>
        <v>0</v>
      </c>
      <c r="E10" s="2">
        <f>E7*'Control Panel'!$B$7</f>
        <v>0</v>
      </c>
      <c r="F10" s="2">
        <f>F7*'Control Panel'!$B$7</f>
        <v>0</v>
      </c>
      <c r="G10" s="2">
        <f>G7*'Control Panel'!$B$7</f>
        <v>0</v>
      </c>
      <c r="H10" s="2">
        <f>H7*'Control Panel'!$B$7</f>
        <v>0</v>
      </c>
      <c r="I10" s="2">
        <f>I7*'Control Panel'!$B$7</f>
        <v>0</v>
      </c>
      <c r="J10" s="2">
        <f>J7*'Control Panel'!$B$7</f>
        <v>0</v>
      </c>
      <c r="K10" s="2">
        <f>K7*'Control Panel'!$B$7</f>
        <v>0</v>
      </c>
      <c r="L10" s="2">
        <f>L7*'Control Panel'!$B$7</f>
        <v>0</v>
      </c>
      <c r="M10" s="2">
        <f>M7*'Control Panel'!$B$7</f>
        <v>0</v>
      </c>
      <c r="N10" s="2">
        <f>SUM(B10:M10)</f>
        <v>0</v>
      </c>
    </row>
    <row r="11" spans="1:16" x14ac:dyDescent="0.35">
      <c r="A11" t="s">
        <v>77</v>
      </c>
      <c r="B11" s="2">
        <f>(B7*'Control Panel'!$B$8)*(3/4)</f>
        <v>12262.5</v>
      </c>
      <c r="C11" s="2">
        <f>(C7*'Control Panel'!$B$8)*(3/4)</f>
        <v>12300</v>
      </c>
      <c r="D11" s="2">
        <f>(D7*'Control Panel'!$B$8)*(3/4)</f>
        <v>12375</v>
      </c>
      <c r="E11" s="2">
        <f>(E7*'Control Panel'!$B$8)*(3/4)</f>
        <v>12412.5</v>
      </c>
      <c r="F11" s="2">
        <f>(F7*'Control Panel'!$B$8)*(3/4)</f>
        <v>12487.5</v>
      </c>
      <c r="G11" s="2">
        <f>(G7*'Control Panel'!$B$8)*(3/4)</f>
        <v>12525</v>
      </c>
      <c r="H11" s="2">
        <f>(H7*'Control Panel'!$B$8)*(3/4)</f>
        <v>12600</v>
      </c>
      <c r="I11" s="2">
        <f>(I7*'Control Panel'!$B$8)*(3/4)</f>
        <v>12675</v>
      </c>
      <c r="J11" s="2">
        <f>(J7*'Control Panel'!$B$8)*(3/4)</f>
        <v>12750</v>
      </c>
      <c r="K11" s="2">
        <f>(K7*'Control Panel'!$B$8)*(3/4)</f>
        <v>12825</v>
      </c>
      <c r="L11" s="2">
        <f>(L7*'Control Panel'!$B$8)*(3/4)</f>
        <v>12900</v>
      </c>
      <c r="M11" s="2">
        <f>(M7*'Control Panel'!$B$8)*(3/4)</f>
        <v>12975</v>
      </c>
      <c r="N11" s="2">
        <f>SUM(B11:M11)</f>
        <v>151087.5</v>
      </c>
    </row>
    <row r="12" spans="1:16" x14ac:dyDescent="0.35">
      <c r="A12" t="s">
        <v>78</v>
      </c>
      <c r="B12" s="2">
        <f>('Year 1 Cash Budget'!N7*'Control Panel'!$B$8)*(1/4)</f>
        <v>4075</v>
      </c>
      <c r="C12" s="2">
        <f>(B7*'Control Panel'!$B$8)*(1/4)</f>
        <v>4087.5</v>
      </c>
      <c r="D12" s="2">
        <f>(C7*'Control Panel'!$B$8)*(1/4)</f>
        <v>4100</v>
      </c>
      <c r="E12" s="2">
        <f>(D7*'Control Panel'!$B$8)*(1/4)</f>
        <v>4125</v>
      </c>
      <c r="F12" s="2">
        <f>(E7*'Control Panel'!$B$8)*(1/4)</f>
        <v>4137.5</v>
      </c>
      <c r="G12" s="2">
        <f>(F7*'Control Panel'!$B$8)*(1/4)</f>
        <v>4162.5</v>
      </c>
      <c r="H12" s="2">
        <f>(G7*'Control Panel'!$B$8)*(1/4)</f>
        <v>4175</v>
      </c>
      <c r="I12" s="2">
        <f>(H7*'Control Panel'!$B$8)*(1/4)</f>
        <v>4200</v>
      </c>
      <c r="J12" s="2">
        <f>(I7*'Control Panel'!$B$8)*(1/4)</f>
        <v>4225</v>
      </c>
      <c r="K12" s="2">
        <f>(J7*'Control Panel'!$B$8)*(1/4)</f>
        <v>4250</v>
      </c>
      <c r="L12" s="2">
        <f>(K7*'Control Panel'!$B$8)*(1/4)</f>
        <v>4275</v>
      </c>
      <c r="M12" s="2">
        <f>(L7*'Control Panel'!$B$8)*(1/4)</f>
        <v>4300</v>
      </c>
      <c r="N12" s="2">
        <f>SUM(B12:M12)</f>
        <v>50112.5</v>
      </c>
    </row>
    <row r="13" spans="1:16" x14ac:dyDescent="0.35">
      <c r="A13" t="s">
        <v>79</v>
      </c>
      <c r="B13" s="2">
        <f>('Year 1 Cash Budget'!N7*'Control Panel'!$B$9)</f>
        <v>0</v>
      </c>
      <c r="C13" s="2">
        <f>(B7*'Control Panel'!$B$9)</f>
        <v>0</v>
      </c>
      <c r="D13" s="2">
        <f>(C7*'Control Panel'!$B$9)</f>
        <v>0</v>
      </c>
      <c r="E13" s="2">
        <f>(D7*'Control Panel'!$B$9)</f>
        <v>0</v>
      </c>
      <c r="F13" s="2">
        <f>(E7*'Control Panel'!$B$9)</f>
        <v>0</v>
      </c>
      <c r="G13" s="2">
        <f>(F7*'Control Panel'!$B$9)</f>
        <v>0</v>
      </c>
      <c r="H13" s="2">
        <f>(G7*'Control Panel'!$B$9)</f>
        <v>0</v>
      </c>
      <c r="I13" s="2">
        <f>(H7*'Control Panel'!$B$9)</f>
        <v>0</v>
      </c>
      <c r="J13" s="2">
        <f>(I7*'Control Panel'!$B$9)</f>
        <v>0</v>
      </c>
      <c r="K13" s="2">
        <f>(J7*'Control Panel'!$B$9)</f>
        <v>0</v>
      </c>
      <c r="L13" s="2">
        <f>(K7*'Control Panel'!$B$9)</f>
        <v>0</v>
      </c>
      <c r="M13" s="2">
        <f>(L7*'Control Panel'!$B$9)</f>
        <v>0</v>
      </c>
      <c r="N13" s="2">
        <f>SUM(B13:M13)</f>
        <v>0</v>
      </c>
    </row>
    <row r="14" spans="1:16" x14ac:dyDescent="0.35">
      <c r="A14" t="s">
        <v>80</v>
      </c>
      <c r="B14" s="2">
        <f>SUM(B10:B13)</f>
        <v>16337.5</v>
      </c>
      <c r="C14" s="2">
        <f t="shared" ref="C14:M14" si="4">SUM(C10:C13)</f>
        <v>16387.5</v>
      </c>
      <c r="D14" s="2">
        <f t="shared" si="4"/>
        <v>16475</v>
      </c>
      <c r="E14" s="2">
        <f t="shared" si="4"/>
        <v>16537.5</v>
      </c>
      <c r="F14" s="2">
        <f t="shared" si="4"/>
        <v>16625</v>
      </c>
      <c r="G14" s="2">
        <f t="shared" si="4"/>
        <v>16687.5</v>
      </c>
      <c r="H14" s="2">
        <f t="shared" si="4"/>
        <v>16775</v>
      </c>
      <c r="I14" s="2">
        <f t="shared" si="4"/>
        <v>16875</v>
      </c>
      <c r="J14" s="2">
        <f t="shared" si="4"/>
        <v>16975</v>
      </c>
      <c r="K14" s="2">
        <f t="shared" si="4"/>
        <v>17075</v>
      </c>
      <c r="L14" s="2">
        <f t="shared" si="4"/>
        <v>17175</v>
      </c>
      <c r="M14" s="2">
        <f t="shared" si="4"/>
        <v>17275</v>
      </c>
      <c r="N14" s="2">
        <f>SUM(N10:N13)</f>
        <v>201200</v>
      </c>
    </row>
    <row r="15" spans="1:16" x14ac:dyDescent="0.3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6" x14ac:dyDescent="0.35">
      <c r="A16" t="s">
        <v>81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>
        <f>SUM(B16:M16)</f>
        <v>0</v>
      </c>
    </row>
    <row r="17" spans="1:16" x14ac:dyDescent="0.3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6" x14ac:dyDescent="0.35">
      <c r="A18" t="s">
        <v>82</v>
      </c>
      <c r="B18" s="2">
        <f>(B7*'Control Panel'!$B$11)*(1-'Control Panel'!$B$13)</f>
        <v>0</v>
      </c>
      <c r="C18" s="2">
        <f>(C7*'Control Panel'!$B$11)*(1-'Control Panel'!$B$13)</f>
        <v>0</v>
      </c>
      <c r="D18" s="2">
        <f>(D7*'Control Panel'!$B$11)*(1-'Control Panel'!$B$13)</f>
        <v>0</v>
      </c>
      <c r="E18" s="2">
        <f>(E7*'Control Panel'!$B$11)*(1-'Control Panel'!$B$13)</f>
        <v>0</v>
      </c>
      <c r="F18" s="2">
        <f>(F7*'Control Panel'!$B$11)*(1-'Control Panel'!$B$13)</f>
        <v>0</v>
      </c>
      <c r="G18" s="2">
        <f>(G7*'Control Panel'!$B$11)*(1-'Control Panel'!$B$13)</f>
        <v>0</v>
      </c>
      <c r="H18" s="2">
        <f>(H7*'Control Panel'!$B$11)*(1-'Control Panel'!$B$13)</f>
        <v>0</v>
      </c>
      <c r="I18" s="2">
        <f>(I7*'Control Panel'!$B$11)*(1-'Control Panel'!$B$13)</f>
        <v>0</v>
      </c>
      <c r="J18" s="2">
        <f>(J7*'Control Panel'!$B$11)*(1-'Control Panel'!$B$13)</f>
        <v>0</v>
      </c>
      <c r="K18" s="2">
        <f>(K7*'Control Panel'!$B$11)*(1-'Control Panel'!$B$13)</f>
        <v>0</v>
      </c>
      <c r="L18" s="2">
        <f>(L7*'Control Panel'!$B$11)*(1-'Control Panel'!$B$13)</f>
        <v>0</v>
      </c>
      <c r="M18" s="2">
        <f>(M7*'Control Panel'!$B$11)*(1-'Control Panel'!$B$13)</f>
        <v>0</v>
      </c>
      <c r="N18" s="2">
        <f>SUM(B18:M18)</f>
        <v>0</v>
      </c>
    </row>
    <row r="19" spans="1:16" x14ac:dyDescent="0.35">
      <c r="A19" t="s">
        <v>83</v>
      </c>
      <c r="B19" s="2">
        <f>('Year 1 Cash Budget'!N7*'Control Panel'!$B$11)*('Control Panel'!$B$13)</f>
        <v>5705</v>
      </c>
      <c r="C19" s="2">
        <f>(B7*'Control Panel'!$B$11)*('Control Panel'!$B$13)</f>
        <v>5722.5</v>
      </c>
      <c r="D19" s="2">
        <f>(C7*'Control Panel'!$B$11)*('Control Panel'!$B$13)</f>
        <v>5740</v>
      </c>
      <c r="E19" s="2">
        <f>(D7*'Control Panel'!$B$11)*('Control Panel'!$B$13)</f>
        <v>5775</v>
      </c>
      <c r="F19" s="2">
        <f>(E7*'Control Panel'!$B$11)*('Control Panel'!$B$13)</f>
        <v>5792.5</v>
      </c>
      <c r="G19" s="2">
        <f>(F7*'Control Panel'!$B$11)*('Control Panel'!$B$13)</f>
        <v>5827.5</v>
      </c>
      <c r="H19" s="2">
        <f>(G7*'Control Panel'!$B$11)*('Control Panel'!$B$13)</f>
        <v>5845</v>
      </c>
      <c r="I19" s="2">
        <f>(H7*'Control Panel'!$B$11)*('Control Panel'!$B$13)</f>
        <v>5880</v>
      </c>
      <c r="J19" s="2">
        <f>(I7*'Control Panel'!$B$11)*('Control Panel'!$B$13)</f>
        <v>5915</v>
      </c>
      <c r="K19" s="2">
        <f>(J7*'Control Panel'!$B$11)*('Control Panel'!$B$13)</f>
        <v>5950</v>
      </c>
      <c r="L19" s="2">
        <f>(K7*'Control Panel'!$B$11)*('Control Panel'!$B$13)</f>
        <v>5985</v>
      </c>
      <c r="M19" s="2">
        <f>(L7*'Control Panel'!$B$11)*('Control Panel'!$B$13)</f>
        <v>6020</v>
      </c>
      <c r="N19" s="2">
        <f>SUM(B19:M19)</f>
        <v>70157.5</v>
      </c>
    </row>
    <row r="20" spans="1:16" x14ac:dyDescent="0.35">
      <c r="A20" t="s">
        <v>84</v>
      </c>
      <c r="B20" s="2">
        <f>SUM(B18:B19)</f>
        <v>5705</v>
      </c>
      <c r="C20" s="2">
        <f t="shared" ref="C20:M20" si="5">SUM(C18:C19)</f>
        <v>5722.5</v>
      </c>
      <c r="D20" s="2">
        <f t="shared" si="5"/>
        <v>5740</v>
      </c>
      <c r="E20" s="2">
        <f t="shared" si="5"/>
        <v>5775</v>
      </c>
      <c r="F20" s="2">
        <f t="shared" si="5"/>
        <v>5792.5</v>
      </c>
      <c r="G20" s="2">
        <f t="shared" si="5"/>
        <v>5827.5</v>
      </c>
      <c r="H20" s="2">
        <f t="shared" si="5"/>
        <v>5845</v>
      </c>
      <c r="I20" s="2">
        <f t="shared" si="5"/>
        <v>5880</v>
      </c>
      <c r="J20" s="2">
        <f t="shared" si="5"/>
        <v>5915</v>
      </c>
      <c r="K20" s="2">
        <f t="shared" si="5"/>
        <v>5950</v>
      </c>
      <c r="L20" s="2">
        <f t="shared" si="5"/>
        <v>5985</v>
      </c>
      <c r="M20" s="2">
        <f t="shared" si="5"/>
        <v>6020</v>
      </c>
      <c r="N20" s="2">
        <f>SUM(N18:N19)</f>
        <v>70157.5</v>
      </c>
      <c r="O20" t="s">
        <v>85</v>
      </c>
      <c r="P20" s="3">
        <f>(M7*'Control Panel'!$B$11)*('Control Panel'!$B$13)</f>
        <v>6055</v>
      </c>
    </row>
    <row r="21" spans="1:16" x14ac:dyDescent="0.3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6" x14ac:dyDescent="0.35">
      <c r="A22" t="s">
        <v>32</v>
      </c>
      <c r="B22" s="2">
        <f>'Year 1 Cash Budget'!C22</f>
        <v>0</v>
      </c>
      <c r="C22" s="2">
        <f>'Year 1 Cash Budget'!D22</f>
        <v>0</v>
      </c>
      <c r="D22" s="2">
        <f>'Year 1 Cash Budget'!E22</f>
        <v>0</v>
      </c>
      <c r="E22" s="2">
        <f>'Year 1 Cash Budget'!F22</f>
        <v>0</v>
      </c>
      <c r="F22" s="2">
        <f>'Year 1 Cash Budget'!G22</f>
        <v>0</v>
      </c>
      <c r="G22" s="2">
        <f>'Year 1 Cash Budget'!H22</f>
        <v>0</v>
      </c>
      <c r="H22" s="2">
        <f>'Year 1 Cash Budget'!I22</f>
        <v>0</v>
      </c>
      <c r="I22" s="2">
        <f>'Year 1 Cash Budget'!J22</f>
        <v>0</v>
      </c>
      <c r="J22" s="2">
        <f>'Year 1 Cash Budget'!K22</f>
        <v>0</v>
      </c>
      <c r="K22" s="2">
        <f>'Year 1 Cash Budget'!L22</f>
        <v>0</v>
      </c>
      <c r="L22" s="2">
        <f>'Year 1 Cash Budget'!M22</f>
        <v>0</v>
      </c>
      <c r="M22" s="2">
        <f>'Year 1 Cash Budget'!N22</f>
        <v>0</v>
      </c>
      <c r="N22" s="2">
        <f t="shared" ref="N22:N37" si="6">SUM(B22:M22)</f>
        <v>0</v>
      </c>
    </row>
    <row r="23" spans="1:16" x14ac:dyDescent="0.35">
      <c r="A23" t="s">
        <v>33</v>
      </c>
      <c r="B23" s="2">
        <f>'Year 1 Cash Budget'!C23</f>
        <v>0</v>
      </c>
      <c r="C23" s="2">
        <f>'Year 1 Cash Budget'!D23</f>
        <v>0</v>
      </c>
      <c r="D23" s="2">
        <f>'Year 1 Cash Budget'!E23</f>
        <v>0</v>
      </c>
      <c r="E23" s="2">
        <f>'Year 1 Cash Budget'!F23</f>
        <v>0</v>
      </c>
      <c r="F23" s="2">
        <f>'Year 1 Cash Budget'!G23</f>
        <v>0</v>
      </c>
      <c r="G23" s="2">
        <f>'Year 1 Cash Budget'!H23</f>
        <v>0</v>
      </c>
      <c r="H23" s="2">
        <f>'Year 1 Cash Budget'!I23</f>
        <v>0</v>
      </c>
      <c r="I23" s="2">
        <f>'Year 1 Cash Budget'!J23</f>
        <v>0</v>
      </c>
      <c r="J23" s="2">
        <f>'Year 1 Cash Budget'!K23</f>
        <v>0</v>
      </c>
      <c r="K23" s="2">
        <f>'Year 1 Cash Budget'!L23</f>
        <v>0</v>
      </c>
      <c r="L23" s="2">
        <f>'Year 1 Cash Budget'!M23</f>
        <v>0</v>
      </c>
      <c r="M23" s="2">
        <f>'Year 1 Cash Budget'!N23</f>
        <v>0</v>
      </c>
      <c r="N23" s="2">
        <f t="shared" si="6"/>
        <v>0</v>
      </c>
    </row>
    <row r="24" spans="1:16" x14ac:dyDescent="0.35">
      <c r="A24" t="s">
        <v>34</v>
      </c>
      <c r="B24" s="2">
        <f>'Year 1 Cash Budget'!C24</f>
        <v>0</v>
      </c>
      <c r="C24" s="2">
        <f>'Year 1 Cash Budget'!D24</f>
        <v>0</v>
      </c>
      <c r="D24" s="2">
        <f>'Year 1 Cash Budget'!E24</f>
        <v>0</v>
      </c>
      <c r="E24" s="2">
        <f>'Year 1 Cash Budget'!F24</f>
        <v>0</v>
      </c>
      <c r="F24" s="2">
        <f>'Year 1 Cash Budget'!G24</f>
        <v>0</v>
      </c>
      <c r="G24" s="2">
        <f>'Year 1 Cash Budget'!H24</f>
        <v>0</v>
      </c>
      <c r="H24" s="2">
        <f>'Year 1 Cash Budget'!I24</f>
        <v>0</v>
      </c>
      <c r="I24" s="2">
        <f>'Year 1 Cash Budget'!J24</f>
        <v>0</v>
      </c>
      <c r="J24" s="2">
        <f>'Year 1 Cash Budget'!K24</f>
        <v>0</v>
      </c>
      <c r="K24" s="2">
        <f>'Year 1 Cash Budget'!L24</f>
        <v>0</v>
      </c>
      <c r="L24" s="2">
        <f>'Year 1 Cash Budget'!M24</f>
        <v>0</v>
      </c>
      <c r="M24" s="2">
        <f>'Year 1 Cash Budget'!N24</f>
        <v>0</v>
      </c>
      <c r="N24" s="2">
        <f t="shared" si="6"/>
        <v>0</v>
      </c>
    </row>
    <row r="25" spans="1:16" x14ac:dyDescent="0.35">
      <c r="A25" t="s">
        <v>35</v>
      </c>
      <c r="B25" s="2">
        <f>'Year 1 Cash Budget'!C25</f>
        <v>0</v>
      </c>
      <c r="C25" s="2">
        <f>'Year 1 Cash Budget'!D25</f>
        <v>0</v>
      </c>
      <c r="D25" s="2">
        <f>'Year 1 Cash Budget'!E25</f>
        <v>0</v>
      </c>
      <c r="E25" s="2">
        <f>'Year 1 Cash Budget'!F25</f>
        <v>0</v>
      </c>
      <c r="F25" s="2">
        <f>'Year 1 Cash Budget'!G25</f>
        <v>0</v>
      </c>
      <c r="G25" s="2">
        <f>'Year 1 Cash Budget'!H25</f>
        <v>0</v>
      </c>
      <c r="H25" s="2">
        <f>'Year 1 Cash Budget'!I25</f>
        <v>0</v>
      </c>
      <c r="I25" s="2">
        <f>'Year 1 Cash Budget'!J25</f>
        <v>0</v>
      </c>
      <c r="J25" s="2">
        <f>'Year 1 Cash Budget'!K25</f>
        <v>0</v>
      </c>
      <c r="K25" s="2">
        <f>'Year 1 Cash Budget'!L25</f>
        <v>0</v>
      </c>
      <c r="L25" s="2">
        <f>'Year 1 Cash Budget'!M25</f>
        <v>0</v>
      </c>
      <c r="M25" s="2">
        <f>'Year 1 Cash Budget'!N25</f>
        <v>0</v>
      </c>
      <c r="N25" s="2">
        <f t="shared" si="6"/>
        <v>0</v>
      </c>
    </row>
    <row r="26" spans="1:16" x14ac:dyDescent="0.35">
      <c r="A26" t="s">
        <v>36</v>
      </c>
      <c r="B26" s="2">
        <f>'Year 1 Cash Budget'!C26</f>
        <v>0</v>
      </c>
      <c r="C26" s="2">
        <f>'Year 1 Cash Budget'!D26</f>
        <v>0</v>
      </c>
      <c r="D26" s="2">
        <f>'Year 1 Cash Budget'!E26</f>
        <v>0</v>
      </c>
      <c r="E26" s="2">
        <f>'Year 1 Cash Budget'!F26</f>
        <v>0</v>
      </c>
      <c r="F26" s="2">
        <f>'Year 1 Cash Budget'!G26</f>
        <v>0</v>
      </c>
      <c r="G26" s="2">
        <f>'Year 1 Cash Budget'!H26</f>
        <v>0</v>
      </c>
      <c r="H26" s="2">
        <f>'Year 1 Cash Budget'!I26</f>
        <v>0</v>
      </c>
      <c r="I26" s="2">
        <f>'Year 1 Cash Budget'!J26</f>
        <v>0</v>
      </c>
      <c r="J26" s="2">
        <f>'Year 1 Cash Budget'!K26</f>
        <v>0</v>
      </c>
      <c r="K26" s="2">
        <f>'Year 1 Cash Budget'!L26</f>
        <v>0</v>
      </c>
      <c r="L26" s="2">
        <f>'Year 1 Cash Budget'!M26</f>
        <v>0</v>
      </c>
      <c r="M26" s="2">
        <f>'Year 1 Cash Budget'!N26</f>
        <v>0</v>
      </c>
      <c r="N26" s="2">
        <f t="shared" si="6"/>
        <v>0</v>
      </c>
    </row>
    <row r="27" spans="1:16" x14ac:dyDescent="0.35">
      <c r="A27" t="s">
        <v>37</v>
      </c>
      <c r="B27" s="2">
        <f>'Year 1 Cash Budget'!C27</f>
        <v>0</v>
      </c>
      <c r="C27" s="2">
        <f>'Year 1 Cash Budget'!D27</f>
        <v>0</v>
      </c>
      <c r="D27" s="2">
        <f>'Year 1 Cash Budget'!E27</f>
        <v>0</v>
      </c>
      <c r="E27" s="2">
        <f>'Year 1 Cash Budget'!F27</f>
        <v>0</v>
      </c>
      <c r="F27" s="2">
        <f>'Year 1 Cash Budget'!G27</f>
        <v>0</v>
      </c>
      <c r="G27" s="2">
        <f>'Year 1 Cash Budget'!H27</f>
        <v>0</v>
      </c>
      <c r="H27" s="2">
        <f>'Year 1 Cash Budget'!I27</f>
        <v>0</v>
      </c>
      <c r="I27" s="2">
        <f>'Year 1 Cash Budget'!J27</f>
        <v>0</v>
      </c>
      <c r="J27" s="2">
        <f>'Year 1 Cash Budget'!K27</f>
        <v>0</v>
      </c>
      <c r="K27" s="2">
        <f>'Year 1 Cash Budget'!L27</f>
        <v>0</v>
      </c>
      <c r="L27" s="2">
        <f>'Year 1 Cash Budget'!M27</f>
        <v>0</v>
      </c>
      <c r="M27" s="2">
        <f>'Year 1 Cash Budget'!N27</f>
        <v>0</v>
      </c>
      <c r="N27" s="2">
        <f t="shared" si="6"/>
        <v>0</v>
      </c>
    </row>
    <row r="28" spans="1:16" x14ac:dyDescent="0.35">
      <c r="A28" t="s">
        <v>38</v>
      </c>
      <c r="B28" s="2">
        <f>'Year 1 Cash Budget'!C28</f>
        <v>0</v>
      </c>
      <c r="C28" s="2">
        <f>'Year 1 Cash Budget'!D28</f>
        <v>0</v>
      </c>
      <c r="D28" s="2">
        <f>'Year 1 Cash Budget'!E28</f>
        <v>0</v>
      </c>
      <c r="E28" s="2">
        <f>'Year 1 Cash Budget'!F28</f>
        <v>0</v>
      </c>
      <c r="F28" s="2">
        <f>'Year 1 Cash Budget'!G28</f>
        <v>0</v>
      </c>
      <c r="G28" s="2">
        <f>'Year 1 Cash Budget'!H28</f>
        <v>0</v>
      </c>
      <c r="H28" s="2">
        <f>'Year 1 Cash Budget'!I28</f>
        <v>0</v>
      </c>
      <c r="I28" s="2">
        <f>'Year 1 Cash Budget'!J28</f>
        <v>0</v>
      </c>
      <c r="J28" s="2">
        <f>'Year 1 Cash Budget'!K28</f>
        <v>0</v>
      </c>
      <c r="K28" s="2">
        <f>'Year 1 Cash Budget'!L28</f>
        <v>0</v>
      </c>
      <c r="L28" s="2">
        <f>'Year 1 Cash Budget'!M28</f>
        <v>0</v>
      </c>
      <c r="M28" s="2">
        <f>'Year 1 Cash Budget'!N28</f>
        <v>0</v>
      </c>
      <c r="N28" s="2">
        <f t="shared" si="6"/>
        <v>0</v>
      </c>
    </row>
    <row r="29" spans="1:16" x14ac:dyDescent="0.35">
      <c r="A29" t="s">
        <v>39</v>
      </c>
      <c r="B29" s="2">
        <f>'Year 1 Cash Budget'!C29</f>
        <v>0</v>
      </c>
      <c r="C29" s="2">
        <f>'Year 1 Cash Budget'!D29</f>
        <v>0</v>
      </c>
      <c r="D29" s="2">
        <f>'Year 1 Cash Budget'!E29</f>
        <v>0</v>
      </c>
      <c r="E29" s="2">
        <f>'Year 1 Cash Budget'!F29</f>
        <v>0</v>
      </c>
      <c r="F29" s="2">
        <f>'Year 1 Cash Budget'!G29</f>
        <v>0</v>
      </c>
      <c r="G29" s="2">
        <f>'Year 1 Cash Budget'!H29</f>
        <v>0</v>
      </c>
      <c r="H29" s="2">
        <f>'Year 1 Cash Budget'!I29</f>
        <v>0</v>
      </c>
      <c r="I29" s="2">
        <f>'Year 1 Cash Budget'!J29</f>
        <v>0</v>
      </c>
      <c r="J29" s="2">
        <f>'Year 1 Cash Budget'!K29</f>
        <v>0</v>
      </c>
      <c r="K29" s="2">
        <f>'Year 1 Cash Budget'!L29</f>
        <v>0</v>
      </c>
      <c r="L29" s="2">
        <f>'Year 1 Cash Budget'!M29</f>
        <v>0</v>
      </c>
      <c r="M29" s="2">
        <f>'Year 1 Cash Budget'!N29</f>
        <v>0</v>
      </c>
      <c r="N29" s="2">
        <f t="shared" si="6"/>
        <v>0</v>
      </c>
    </row>
    <row r="30" spans="1:16" x14ac:dyDescent="0.35">
      <c r="A30" t="s">
        <v>41</v>
      </c>
      <c r="B30" s="2">
        <f>'Year 1 Cash Budget'!C30</f>
        <v>0</v>
      </c>
      <c r="C30" s="2">
        <f>'Year 1 Cash Budget'!D30</f>
        <v>0</v>
      </c>
      <c r="D30" s="2">
        <f>'Year 1 Cash Budget'!E30</f>
        <v>0</v>
      </c>
      <c r="E30" s="2">
        <f>'Year 1 Cash Budget'!F30</f>
        <v>0</v>
      </c>
      <c r="F30" s="2">
        <f>'Year 1 Cash Budget'!G30</f>
        <v>0</v>
      </c>
      <c r="G30" s="2">
        <f>'Year 1 Cash Budget'!H30</f>
        <v>0</v>
      </c>
      <c r="H30" s="2">
        <f>'Year 1 Cash Budget'!I30</f>
        <v>0</v>
      </c>
      <c r="I30" s="2">
        <f>'Year 1 Cash Budget'!J30</f>
        <v>0</v>
      </c>
      <c r="J30" s="2">
        <f>'Year 1 Cash Budget'!K30</f>
        <v>0</v>
      </c>
      <c r="K30" s="2">
        <f>'Year 1 Cash Budget'!L30</f>
        <v>0</v>
      </c>
      <c r="L30" s="2">
        <f>'Year 1 Cash Budget'!M30</f>
        <v>0</v>
      </c>
      <c r="M30" s="2">
        <f>'Year 1 Cash Budget'!N30</f>
        <v>0</v>
      </c>
      <c r="N30" s="2">
        <f t="shared" si="6"/>
        <v>0</v>
      </c>
    </row>
    <row r="31" spans="1:16" x14ac:dyDescent="0.35">
      <c r="A31" t="s">
        <v>86</v>
      </c>
      <c r="B31" s="2">
        <f>'Year 1 Cash Budget'!C31</f>
        <v>0</v>
      </c>
      <c r="C31" s="2">
        <f>'Year 1 Cash Budget'!D31</f>
        <v>0</v>
      </c>
      <c r="D31" s="2">
        <f>'Year 1 Cash Budget'!E31</f>
        <v>0</v>
      </c>
      <c r="E31" s="2">
        <f>'Year 1 Cash Budget'!F31</f>
        <v>0</v>
      </c>
      <c r="F31" s="2">
        <f>'Year 1 Cash Budget'!G31</f>
        <v>0</v>
      </c>
      <c r="G31" s="2">
        <f>'Year 1 Cash Budget'!H31</f>
        <v>0</v>
      </c>
      <c r="H31" s="2">
        <f>'Year 1 Cash Budget'!I31</f>
        <v>0</v>
      </c>
      <c r="I31" s="2">
        <f>'Year 1 Cash Budget'!J31</f>
        <v>0</v>
      </c>
      <c r="J31" s="2">
        <f>'Year 1 Cash Budget'!K31</f>
        <v>0</v>
      </c>
      <c r="K31" s="2">
        <f>'Year 1 Cash Budget'!L31</f>
        <v>0</v>
      </c>
      <c r="L31" s="2">
        <f>'Year 1 Cash Budget'!M31</f>
        <v>0</v>
      </c>
      <c r="M31" s="2">
        <f>'Year 1 Cash Budget'!N31</f>
        <v>0</v>
      </c>
      <c r="N31" s="2">
        <f t="shared" si="6"/>
        <v>0</v>
      </c>
    </row>
    <row r="32" spans="1:16" x14ac:dyDescent="0.35">
      <c r="A32" t="s">
        <v>45</v>
      </c>
      <c r="B32" s="2">
        <f>'Year 1 Cash Budget'!C32</f>
        <v>0</v>
      </c>
      <c r="C32" s="2">
        <f>'Year 1 Cash Budget'!D32</f>
        <v>0</v>
      </c>
      <c r="D32" s="2">
        <f>'Year 1 Cash Budget'!E32</f>
        <v>0</v>
      </c>
      <c r="E32" s="2">
        <f>'Year 1 Cash Budget'!F32</f>
        <v>0</v>
      </c>
      <c r="F32" s="2">
        <f>'Year 1 Cash Budget'!G32</f>
        <v>0</v>
      </c>
      <c r="G32" s="2">
        <f>'Year 1 Cash Budget'!H32</f>
        <v>0</v>
      </c>
      <c r="H32" s="2">
        <f>'Year 1 Cash Budget'!I32</f>
        <v>0</v>
      </c>
      <c r="I32" s="2">
        <f>'Year 1 Cash Budget'!J32</f>
        <v>0</v>
      </c>
      <c r="J32" s="2">
        <f>'Year 1 Cash Budget'!K32</f>
        <v>0</v>
      </c>
      <c r="K32" s="2">
        <f>'Year 1 Cash Budget'!L32</f>
        <v>0</v>
      </c>
      <c r="L32" s="2">
        <f>'Year 1 Cash Budget'!M32</f>
        <v>0</v>
      </c>
      <c r="M32" s="2">
        <f>'Year 1 Cash Budget'!N32</f>
        <v>0</v>
      </c>
      <c r="N32" s="2">
        <f t="shared" si="6"/>
        <v>0</v>
      </c>
    </row>
    <row r="33" spans="1:14" x14ac:dyDescent="0.35">
      <c r="A33" t="s">
        <v>46</v>
      </c>
      <c r="B33" s="2">
        <f>'Year 1 Cash Budget'!C33</f>
        <v>0</v>
      </c>
      <c r="C33" s="2">
        <f>'Year 1 Cash Budget'!D33</f>
        <v>0</v>
      </c>
      <c r="D33" s="2">
        <f>'Year 1 Cash Budget'!E33</f>
        <v>0</v>
      </c>
      <c r="E33" s="2">
        <f>'Year 1 Cash Budget'!F33</f>
        <v>0</v>
      </c>
      <c r="F33" s="2">
        <f>'Year 1 Cash Budget'!G33</f>
        <v>0</v>
      </c>
      <c r="G33" s="2">
        <f>'Year 1 Cash Budget'!H33</f>
        <v>0</v>
      </c>
      <c r="H33" s="2">
        <f>'Year 1 Cash Budget'!I33</f>
        <v>0</v>
      </c>
      <c r="I33" s="2">
        <f>'Year 1 Cash Budget'!J33</f>
        <v>0</v>
      </c>
      <c r="J33" s="2">
        <f>'Year 1 Cash Budget'!K33</f>
        <v>0</v>
      </c>
      <c r="K33" s="2">
        <f>'Year 1 Cash Budget'!L33</f>
        <v>0</v>
      </c>
      <c r="L33" s="2">
        <f>'Year 1 Cash Budget'!M33</f>
        <v>0</v>
      </c>
      <c r="M33" s="2">
        <f>'Year 1 Cash Budget'!N33</f>
        <v>0</v>
      </c>
      <c r="N33" s="2">
        <f t="shared" si="6"/>
        <v>0</v>
      </c>
    </row>
    <row r="34" spans="1:14" x14ac:dyDescent="0.35">
      <c r="A34" t="s">
        <v>47</v>
      </c>
      <c r="B34" s="2">
        <f>'Year 1 Cash Budget'!C34</f>
        <v>0</v>
      </c>
      <c r="C34" s="2">
        <f>'Year 1 Cash Budget'!D34</f>
        <v>0</v>
      </c>
      <c r="D34" s="2">
        <f>'Year 1 Cash Budget'!E34</f>
        <v>0</v>
      </c>
      <c r="E34" s="2">
        <f>'Year 1 Cash Budget'!F34</f>
        <v>0</v>
      </c>
      <c r="F34" s="2">
        <f>'Year 1 Cash Budget'!G34</f>
        <v>0</v>
      </c>
      <c r="G34" s="2">
        <f>'Year 1 Cash Budget'!H34</f>
        <v>0</v>
      </c>
      <c r="H34" s="2">
        <f>'Year 1 Cash Budget'!I34</f>
        <v>0</v>
      </c>
      <c r="I34" s="2">
        <f>'Year 1 Cash Budget'!J34</f>
        <v>0</v>
      </c>
      <c r="J34" s="2">
        <f>'Year 1 Cash Budget'!K34</f>
        <v>0</v>
      </c>
      <c r="K34" s="2">
        <f>'Year 1 Cash Budget'!L34</f>
        <v>0</v>
      </c>
      <c r="L34" s="2">
        <f>'Year 1 Cash Budget'!M34</f>
        <v>0</v>
      </c>
      <c r="M34" s="2">
        <f>'Year 1 Cash Budget'!N34</f>
        <v>0</v>
      </c>
      <c r="N34" s="2">
        <f t="shared" si="6"/>
        <v>0</v>
      </c>
    </row>
    <row r="35" spans="1:14" x14ac:dyDescent="0.35">
      <c r="A35" t="s">
        <v>48</v>
      </c>
      <c r="B35" s="2">
        <f>'Year 1 Cash Budget'!C35</f>
        <v>0</v>
      </c>
      <c r="C35" s="2">
        <f>'Year 1 Cash Budget'!D35</f>
        <v>0</v>
      </c>
      <c r="D35" s="2">
        <f>'Year 1 Cash Budget'!E35</f>
        <v>0</v>
      </c>
      <c r="E35" s="2">
        <f>'Year 1 Cash Budget'!F35</f>
        <v>0</v>
      </c>
      <c r="F35" s="2">
        <f>'Year 1 Cash Budget'!G35</f>
        <v>0</v>
      </c>
      <c r="G35" s="2">
        <f>'Year 1 Cash Budget'!H35</f>
        <v>0</v>
      </c>
      <c r="H35" s="2">
        <f>'Year 1 Cash Budget'!I35</f>
        <v>0</v>
      </c>
      <c r="I35" s="2">
        <f>'Year 1 Cash Budget'!J35</f>
        <v>0</v>
      </c>
      <c r="J35" s="2">
        <f>'Year 1 Cash Budget'!K35</f>
        <v>0</v>
      </c>
      <c r="K35" s="2">
        <f>'Year 1 Cash Budget'!L35</f>
        <v>0</v>
      </c>
      <c r="L35" s="2">
        <f>'Year 1 Cash Budget'!M35</f>
        <v>0</v>
      </c>
      <c r="M35" s="2">
        <f>'Year 1 Cash Budget'!N35</f>
        <v>0</v>
      </c>
      <c r="N35" s="2">
        <f t="shared" si="6"/>
        <v>0</v>
      </c>
    </row>
    <row r="36" spans="1:14" x14ac:dyDescent="0.35">
      <c r="A36" t="s">
        <v>87</v>
      </c>
      <c r="B36" s="2">
        <f>'Year 1 Cash Budget'!C36</f>
        <v>0</v>
      </c>
      <c r="C36" s="2">
        <f>'Year 1 Cash Budget'!D36</f>
        <v>0</v>
      </c>
      <c r="D36" s="2">
        <f>'Year 1 Cash Budget'!E36</f>
        <v>0</v>
      </c>
      <c r="E36" s="2">
        <f>'Year 1 Cash Budget'!F36</f>
        <v>0</v>
      </c>
      <c r="F36" s="2">
        <f>'Year 1 Cash Budget'!G36</f>
        <v>0</v>
      </c>
      <c r="G36" s="2">
        <f>'Year 1 Cash Budget'!H36</f>
        <v>0</v>
      </c>
      <c r="H36" s="2">
        <f>'Year 1 Cash Budget'!I36</f>
        <v>0</v>
      </c>
      <c r="I36" s="2">
        <f>'Year 1 Cash Budget'!J36</f>
        <v>0</v>
      </c>
      <c r="J36" s="2">
        <f>'Year 1 Cash Budget'!K36</f>
        <v>0</v>
      </c>
      <c r="K36" s="2">
        <f>'Year 1 Cash Budget'!L36</f>
        <v>0</v>
      </c>
      <c r="L36" s="2">
        <f>'Year 1 Cash Budget'!M36</f>
        <v>0</v>
      </c>
      <c r="M36" s="2">
        <f>'Year 1 Cash Budget'!N36</f>
        <v>0</v>
      </c>
      <c r="N36" s="2">
        <f t="shared" si="6"/>
        <v>0</v>
      </c>
    </row>
    <row r="37" spans="1:14" x14ac:dyDescent="0.35">
      <c r="A37" t="s">
        <v>51</v>
      </c>
      <c r="B37" s="2">
        <f>'Year 1 Cash Budget'!C37</f>
        <v>5000</v>
      </c>
      <c r="C37" s="2">
        <f>'Year 1 Cash Budget'!D37</f>
        <v>5000</v>
      </c>
      <c r="D37" s="2">
        <f>'Year 1 Cash Budget'!E37</f>
        <v>5000</v>
      </c>
      <c r="E37" s="2">
        <f>'Year 1 Cash Budget'!F37</f>
        <v>5000</v>
      </c>
      <c r="F37" s="2">
        <f>'Year 1 Cash Budget'!G37</f>
        <v>5000</v>
      </c>
      <c r="G37" s="2">
        <f>'Year 1 Cash Budget'!H37</f>
        <v>5000</v>
      </c>
      <c r="H37" s="2">
        <f>'Year 1 Cash Budget'!I37</f>
        <v>5000</v>
      </c>
      <c r="I37" s="2">
        <f>'Year 1 Cash Budget'!J37</f>
        <v>5000</v>
      </c>
      <c r="J37" s="2">
        <f>'Year 1 Cash Budget'!K37</f>
        <v>5000</v>
      </c>
      <c r="K37" s="2">
        <f>'Year 1 Cash Budget'!L37</f>
        <v>5000</v>
      </c>
      <c r="L37" s="2">
        <f>'Year 1 Cash Budget'!M37</f>
        <v>5000</v>
      </c>
      <c r="M37" s="2">
        <f>'Year 1 Cash Budget'!N37</f>
        <v>5000</v>
      </c>
      <c r="N37" s="2">
        <f t="shared" si="6"/>
        <v>60000</v>
      </c>
    </row>
    <row r="38" spans="1:14" x14ac:dyDescent="0.35">
      <c r="A38" t="s">
        <v>88</v>
      </c>
      <c r="B38" s="2">
        <f t="shared" ref="B38:I38" si="7">SUM(B22:B37)</f>
        <v>5000</v>
      </c>
      <c r="C38" s="2">
        <f t="shared" si="7"/>
        <v>5000</v>
      </c>
      <c r="D38" s="2">
        <f t="shared" si="7"/>
        <v>5000</v>
      </c>
      <c r="E38" s="2">
        <f t="shared" si="7"/>
        <v>5000</v>
      </c>
      <c r="F38" s="2">
        <f t="shared" si="7"/>
        <v>5000</v>
      </c>
      <c r="G38" s="2">
        <f t="shared" si="7"/>
        <v>5000</v>
      </c>
      <c r="H38" s="2">
        <f t="shared" si="7"/>
        <v>5000</v>
      </c>
      <c r="I38" s="2">
        <f t="shared" si="7"/>
        <v>5000</v>
      </c>
      <c r="J38" s="2">
        <f>SUM(J22:J37)</f>
        <v>5000</v>
      </c>
      <c r="K38" s="2">
        <f t="shared" ref="K38:N38" si="8">SUM(K22:K37)</f>
        <v>5000</v>
      </c>
      <c r="L38" s="2">
        <f t="shared" si="8"/>
        <v>5000</v>
      </c>
      <c r="M38" s="2">
        <f t="shared" si="8"/>
        <v>5000</v>
      </c>
      <c r="N38" s="2">
        <f t="shared" si="8"/>
        <v>60000</v>
      </c>
    </row>
    <row r="39" spans="1:14" x14ac:dyDescent="0.3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35">
      <c r="A40" t="s">
        <v>40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>
        <f>SUM(B40:M40)</f>
        <v>0</v>
      </c>
    </row>
    <row r="41" spans="1:14" x14ac:dyDescent="0.35">
      <c r="A41" t="s">
        <v>86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>
        <f>SUM(B41:M41)</f>
        <v>0</v>
      </c>
    </row>
    <row r="42" spans="1:14" x14ac:dyDescent="0.35">
      <c r="A42" t="s">
        <v>44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>
        <f>SUM(B42:M42)</f>
        <v>0</v>
      </c>
    </row>
    <row r="43" spans="1:14" x14ac:dyDescent="0.35">
      <c r="A43" t="s">
        <v>49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>
        <f>SUM(B43:M43)</f>
        <v>0</v>
      </c>
    </row>
    <row r="44" spans="1:14" x14ac:dyDescent="0.35">
      <c r="A44" t="s">
        <v>89</v>
      </c>
      <c r="B44" s="2">
        <f t="shared" ref="B44:N44" si="9">SUM(B40:B43)</f>
        <v>0</v>
      </c>
      <c r="C44" s="2">
        <f t="shared" si="9"/>
        <v>0</v>
      </c>
      <c r="D44" s="2">
        <f t="shared" si="9"/>
        <v>0</v>
      </c>
      <c r="E44" s="2">
        <f t="shared" si="9"/>
        <v>0</v>
      </c>
      <c r="F44" s="2">
        <f t="shared" si="9"/>
        <v>0</v>
      </c>
      <c r="G44" s="2">
        <f t="shared" si="9"/>
        <v>0</v>
      </c>
      <c r="H44" s="2">
        <f t="shared" si="9"/>
        <v>0</v>
      </c>
      <c r="I44" s="2">
        <f t="shared" si="9"/>
        <v>0</v>
      </c>
      <c r="J44" s="2">
        <f t="shared" si="9"/>
        <v>0</v>
      </c>
      <c r="K44" s="2">
        <f t="shared" si="9"/>
        <v>0</v>
      </c>
      <c r="L44" s="2">
        <f t="shared" si="9"/>
        <v>0</v>
      </c>
      <c r="M44" s="2">
        <f t="shared" si="9"/>
        <v>0</v>
      </c>
      <c r="N44" s="2">
        <f t="shared" si="9"/>
        <v>0</v>
      </c>
    </row>
    <row r="45" spans="1:14" x14ac:dyDescent="0.3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35">
      <c r="A46" t="s">
        <v>90</v>
      </c>
      <c r="B46" s="2">
        <f t="shared" ref="B46:M46" si="10">B9+B14-B20-B38-B44+B16</f>
        <v>141997.5</v>
      </c>
      <c r="C46" s="2">
        <f t="shared" si="10"/>
        <v>147662.5</v>
      </c>
      <c r="D46" s="2">
        <f t="shared" si="10"/>
        <v>153397.5</v>
      </c>
      <c r="E46" s="2">
        <f t="shared" si="10"/>
        <v>159160</v>
      </c>
      <c r="F46" s="2">
        <f t="shared" si="10"/>
        <v>164992.5</v>
      </c>
      <c r="G46" s="2">
        <f t="shared" si="10"/>
        <v>170852.5</v>
      </c>
      <c r="H46" s="2">
        <f t="shared" si="10"/>
        <v>176782.5</v>
      </c>
      <c r="I46" s="2">
        <f t="shared" si="10"/>
        <v>182777.5</v>
      </c>
      <c r="J46" s="2">
        <f t="shared" si="10"/>
        <v>188837.5</v>
      </c>
      <c r="K46" s="2">
        <f t="shared" si="10"/>
        <v>194962.5</v>
      </c>
      <c r="L46" s="2">
        <f t="shared" si="10"/>
        <v>201152.5</v>
      </c>
      <c r="M46" s="2">
        <f t="shared" si="10"/>
        <v>207407.5</v>
      </c>
      <c r="N46" s="2"/>
    </row>
    <row r="47" spans="1:14" x14ac:dyDescent="0.3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4" x14ac:dyDescent="0.3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4" x14ac:dyDescent="0.35">
      <c r="A49" t="s">
        <v>73</v>
      </c>
      <c r="B49" s="2">
        <f>B7</f>
        <v>16350</v>
      </c>
      <c r="C49" s="2">
        <f t="shared" ref="C49:M49" si="11">C7</f>
        <v>16400</v>
      </c>
      <c r="D49" s="2">
        <f t="shared" si="11"/>
        <v>16500</v>
      </c>
      <c r="E49" s="2">
        <f t="shared" si="11"/>
        <v>16550</v>
      </c>
      <c r="F49" s="2">
        <f t="shared" si="11"/>
        <v>16650</v>
      </c>
      <c r="G49" s="2">
        <f t="shared" si="11"/>
        <v>16700</v>
      </c>
      <c r="H49" s="2">
        <f t="shared" si="11"/>
        <v>16800</v>
      </c>
      <c r="I49" s="2">
        <f t="shared" si="11"/>
        <v>16900</v>
      </c>
      <c r="J49" s="2">
        <f t="shared" si="11"/>
        <v>17000</v>
      </c>
      <c r="K49" s="2">
        <f t="shared" si="11"/>
        <v>17100</v>
      </c>
      <c r="L49" s="2">
        <f t="shared" si="11"/>
        <v>17200</v>
      </c>
      <c r="M49" s="2">
        <f t="shared" si="11"/>
        <v>17300</v>
      </c>
      <c r="N49" s="2"/>
    </row>
    <row r="50" spans="1:14" x14ac:dyDescent="0.3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x14ac:dyDescent="0.35">
      <c r="A51" t="s">
        <v>26</v>
      </c>
      <c r="B51" s="2">
        <f>B49*'Control Panel'!$B$11</f>
        <v>5722.5</v>
      </c>
      <c r="C51" s="2">
        <f>C49*'Control Panel'!$B$11</f>
        <v>5740</v>
      </c>
      <c r="D51" s="2">
        <f>D49*'Control Panel'!$B$11</f>
        <v>5775</v>
      </c>
      <c r="E51" s="2">
        <f>E49*'Control Panel'!$B$11</f>
        <v>5792.5</v>
      </c>
      <c r="F51" s="2">
        <f>F49*'Control Panel'!$B$11</f>
        <v>5827.5</v>
      </c>
      <c r="G51" s="2">
        <f>G49*'Control Panel'!$B$11</f>
        <v>5845</v>
      </c>
      <c r="H51" s="2">
        <f>H49*'Control Panel'!$B$11</f>
        <v>5880</v>
      </c>
      <c r="I51" s="2">
        <f>I49*'Control Panel'!$B$11</f>
        <v>5915</v>
      </c>
      <c r="J51" s="2">
        <f>J49*'Control Panel'!$B$11</f>
        <v>5950</v>
      </c>
      <c r="K51" s="2">
        <f>K49*'Control Panel'!$B$11</f>
        <v>5985</v>
      </c>
      <c r="L51" s="2">
        <f>L49*'Control Panel'!$B$11</f>
        <v>6020</v>
      </c>
      <c r="M51" s="2">
        <f>M49*'Control Panel'!$B$11</f>
        <v>6055</v>
      </c>
      <c r="N51" s="2"/>
    </row>
    <row r="52" spans="1:14" x14ac:dyDescent="0.3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x14ac:dyDescent="0.35">
      <c r="A53" t="s">
        <v>91</v>
      </c>
      <c r="B53" s="2">
        <f>B49-B51</f>
        <v>10627.5</v>
      </c>
      <c r="C53" s="2">
        <f t="shared" ref="C53:M53" si="12">C49-C51</f>
        <v>10660</v>
      </c>
      <c r="D53" s="2">
        <f t="shared" si="12"/>
        <v>10725</v>
      </c>
      <c r="E53" s="2">
        <f t="shared" si="12"/>
        <v>10757.5</v>
      </c>
      <c r="F53" s="2">
        <f t="shared" si="12"/>
        <v>10822.5</v>
      </c>
      <c r="G53" s="2">
        <f t="shared" si="12"/>
        <v>10855</v>
      </c>
      <c r="H53" s="2">
        <f t="shared" si="12"/>
        <v>10920</v>
      </c>
      <c r="I53" s="2">
        <f t="shared" si="12"/>
        <v>10985</v>
      </c>
      <c r="J53" s="2">
        <f t="shared" si="12"/>
        <v>11050</v>
      </c>
      <c r="K53" s="2">
        <f t="shared" si="12"/>
        <v>11115</v>
      </c>
      <c r="L53" s="2">
        <f t="shared" si="12"/>
        <v>11180</v>
      </c>
      <c r="M53" s="2">
        <f t="shared" si="12"/>
        <v>11245</v>
      </c>
      <c r="N53" s="2"/>
    </row>
    <row r="54" spans="1:14" x14ac:dyDescent="0.3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x14ac:dyDescent="0.35">
      <c r="A55" t="s">
        <v>92</v>
      </c>
      <c r="B55" s="2">
        <f>B38</f>
        <v>5000</v>
      </c>
      <c r="C55" s="2">
        <f t="shared" ref="C55:M55" si="13">C38</f>
        <v>5000</v>
      </c>
      <c r="D55" s="2">
        <f t="shared" si="13"/>
        <v>5000</v>
      </c>
      <c r="E55" s="2">
        <f t="shared" si="13"/>
        <v>5000</v>
      </c>
      <c r="F55" s="2">
        <f t="shared" si="13"/>
        <v>5000</v>
      </c>
      <c r="G55" s="2">
        <f t="shared" si="13"/>
        <v>5000</v>
      </c>
      <c r="H55" s="2">
        <f t="shared" si="13"/>
        <v>5000</v>
      </c>
      <c r="I55" s="2">
        <f t="shared" si="13"/>
        <v>5000</v>
      </c>
      <c r="J55" s="2">
        <f t="shared" si="13"/>
        <v>5000</v>
      </c>
      <c r="K55" s="2">
        <f t="shared" si="13"/>
        <v>5000</v>
      </c>
      <c r="L55" s="2">
        <f t="shared" si="13"/>
        <v>5000</v>
      </c>
      <c r="M55" s="2">
        <f t="shared" si="13"/>
        <v>5000</v>
      </c>
      <c r="N55" s="2"/>
    </row>
    <row r="56" spans="1:14" x14ac:dyDescent="0.3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x14ac:dyDescent="0.35">
      <c r="A57" t="s">
        <v>93</v>
      </c>
      <c r="B57" s="2">
        <f>B53-B55</f>
        <v>5627.5</v>
      </c>
      <c r="C57" s="2">
        <f t="shared" ref="C57:M57" si="14">C53-C55</f>
        <v>5660</v>
      </c>
      <c r="D57" s="2">
        <f t="shared" si="14"/>
        <v>5725</v>
      </c>
      <c r="E57" s="2">
        <f t="shared" si="14"/>
        <v>5757.5</v>
      </c>
      <c r="F57" s="2">
        <f t="shared" si="14"/>
        <v>5822.5</v>
      </c>
      <c r="G57" s="2">
        <f t="shared" si="14"/>
        <v>5855</v>
      </c>
      <c r="H57" s="2">
        <f t="shared" si="14"/>
        <v>5920</v>
      </c>
      <c r="I57" s="2">
        <f t="shared" si="14"/>
        <v>5985</v>
      </c>
      <c r="J57" s="2">
        <f t="shared" si="14"/>
        <v>6050</v>
      </c>
      <c r="K57" s="2">
        <f t="shared" si="14"/>
        <v>6115</v>
      </c>
      <c r="L57" s="2">
        <f t="shared" si="14"/>
        <v>6180</v>
      </c>
      <c r="M57" s="2">
        <f t="shared" si="14"/>
        <v>6245</v>
      </c>
      <c r="N57" s="2"/>
    </row>
    <row r="59" spans="1:14" x14ac:dyDescent="0.35">
      <c r="A59" t="s">
        <v>94</v>
      </c>
      <c r="B59" s="3">
        <f>B57+'Year 1 Cash Budget'!N59</f>
        <v>-34637.5</v>
      </c>
      <c r="C59" s="3">
        <f>B59+C57</f>
        <v>-28977.5</v>
      </c>
      <c r="D59" s="3">
        <f t="shared" ref="D59:M59" si="15">C59+D57</f>
        <v>-23252.5</v>
      </c>
      <c r="E59" s="3">
        <f t="shared" si="15"/>
        <v>-17495</v>
      </c>
      <c r="F59" s="3">
        <f t="shared" si="15"/>
        <v>-11672.5</v>
      </c>
      <c r="G59" s="3">
        <f t="shared" si="15"/>
        <v>-5817.5</v>
      </c>
      <c r="H59" s="3">
        <f t="shared" si="15"/>
        <v>102.5</v>
      </c>
      <c r="I59" s="3">
        <f t="shared" si="15"/>
        <v>6087.5</v>
      </c>
      <c r="J59" s="3">
        <f t="shared" si="15"/>
        <v>12137.5</v>
      </c>
      <c r="K59" s="3">
        <f t="shared" si="15"/>
        <v>18252.5</v>
      </c>
      <c r="L59" s="3">
        <f t="shared" si="15"/>
        <v>24432.5</v>
      </c>
      <c r="M59" s="3">
        <f t="shared" si="15"/>
        <v>30677.5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D24A3-A178-D14D-BCEC-EC6C43311D60}">
  <dimension ref="A1:P59"/>
  <sheetViews>
    <sheetView topLeftCell="A28" zoomScaleNormal="100" workbookViewId="0">
      <selection activeCell="B9" sqref="B9"/>
    </sheetView>
  </sheetViews>
  <sheetFormatPr baseColWidth="10" defaultColWidth="11" defaultRowHeight="15.5" x14ac:dyDescent="0.35"/>
  <cols>
    <col min="1" max="1" width="35.83203125" bestFit="1" customWidth="1"/>
    <col min="2" max="2" width="20.33203125" bestFit="1" customWidth="1"/>
    <col min="3" max="12" width="11" bestFit="1" customWidth="1"/>
    <col min="13" max="13" width="11.83203125" bestFit="1" customWidth="1"/>
    <col min="14" max="14" width="11.08203125" bestFit="1" customWidth="1"/>
  </cols>
  <sheetData>
    <row r="1" spans="1:16" x14ac:dyDescent="0.35">
      <c r="B1" s="12" t="s">
        <v>118</v>
      </c>
      <c r="C1" s="12" t="s">
        <v>119</v>
      </c>
      <c r="D1" s="12" t="s">
        <v>120</v>
      </c>
      <c r="E1" s="12" t="s">
        <v>121</v>
      </c>
      <c r="F1" s="12" t="s">
        <v>122</v>
      </c>
      <c r="G1" s="12" t="s">
        <v>123</v>
      </c>
      <c r="H1" s="12" t="s">
        <v>124</v>
      </c>
      <c r="I1" s="12" t="s">
        <v>125</v>
      </c>
      <c r="J1" s="12" t="s">
        <v>126</v>
      </c>
      <c r="K1" s="12" t="s">
        <v>127</v>
      </c>
      <c r="L1" s="12" t="s">
        <v>128</v>
      </c>
      <c r="M1" s="12" t="s">
        <v>129</v>
      </c>
      <c r="N1" s="12" t="s">
        <v>2</v>
      </c>
    </row>
    <row r="2" spans="1:16" x14ac:dyDescent="0.35">
      <c r="A2" s="9" t="s">
        <v>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6" x14ac:dyDescent="0.35">
      <c r="A3" t="s">
        <v>70</v>
      </c>
      <c r="B3" s="2">
        <f>'Control Panel'!$B$1</f>
        <v>50</v>
      </c>
      <c r="C3" s="2">
        <f t="shared" ref="C3:M3" si="0">B3</f>
        <v>50</v>
      </c>
      <c r="D3" s="2">
        <f t="shared" si="0"/>
        <v>50</v>
      </c>
      <c r="E3" s="2">
        <f t="shared" si="0"/>
        <v>50</v>
      </c>
      <c r="F3" s="2">
        <f t="shared" si="0"/>
        <v>50</v>
      </c>
      <c r="G3" s="2">
        <f t="shared" si="0"/>
        <v>50</v>
      </c>
      <c r="H3" s="2">
        <f t="shared" si="0"/>
        <v>50</v>
      </c>
      <c r="I3" s="2">
        <f t="shared" si="0"/>
        <v>50</v>
      </c>
      <c r="J3" s="2">
        <f t="shared" si="0"/>
        <v>50</v>
      </c>
      <c r="K3" s="2">
        <f t="shared" si="0"/>
        <v>50</v>
      </c>
      <c r="L3" s="2">
        <f t="shared" si="0"/>
        <v>50</v>
      </c>
      <c r="M3" s="2">
        <f t="shared" si="0"/>
        <v>50</v>
      </c>
      <c r="N3" s="2"/>
    </row>
    <row r="4" spans="1:16" x14ac:dyDescent="0.35">
      <c r="A4" t="s">
        <v>10</v>
      </c>
      <c r="B4" s="2">
        <f>ROUND((('Control Panel'!$B$2*(B5+1))*B6),0)</f>
        <v>348</v>
      </c>
      <c r="C4" s="2">
        <f>ROUND((('Control Panel'!$B$2*(C5+1))*C6),0)</f>
        <v>351</v>
      </c>
      <c r="D4" s="2">
        <f>ROUND((('Control Panel'!$B$2*(D5+1))*D6),0)</f>
        <v>353</v>
      </c>
      <c r="E4" s="2">
        <f>ROUND((('Control Panel'!$B$2*(E5+1))*E6),0)</f>
        <v>356</v>
      </c>
      <c r="F4" s="2">
        <f>ROUND((('Control Panel'!$B$2*(F5+1))*F6),0)</f>
        <v>359</v>
      </c>
      <c r="G4" s="2">
        <f>ROUND((('Control Panel'!$B$2*(G5+1))*G6),0)</f>
        <v>362</v>
      </c>
      <c r="H4" s="2">
        <f>ROUND((('Control Panel'!$B$2*(H5+1))*H6),0)</f>
        <v>365</v>
      </c>
      <c r="I4" s="2">
        <f>ROUND((('Control Panel'!$B$2*(I5+1))*I6),0)</f>
        <v>368</v>
      </c>
      <c r="J4" s="2">
        <f>ROUND((('Control Panel'!$B$2*(J5+1))*J6),0)</f>
        <v>371</v>
      </c>
      <c r="K4" s="2">
        <f>ROUND((('Control Panel'!$B$2*(K5+1))*K6),0)</f>
        <v>375</v>
      </c>
      <c r="L4" s="2">
        <f>ROUND((('Control Panel'!$B$2*(L5+1))*L6),0)</f>
        <v>379</v>
      </c>
      <c r="M4" s="2">
        <f>ROUND((('Control Panel'!$B$2*(M5+1))*M6),0)</f>
        <v>383</v>
      </c>
      <c r="N4" s="2">
        <f>SUM(B4:M4)</f>
        <v>4370</v>
      </c>
    </row>
    <row r="5" spans="1:16" x14ac:dyDescent="0.35">
      <c r="A5" t="s">
        <v>71</v>
      </c>
      <c r="B5" s="8">
        <f>'Year 2 Cash Budget'!M5*(1+'Control Panel'!$B$4)</f>
        <v>0.1612549971856852</v>
      </c>
      <c r="C5" s="8">
        <f>B5*(1+'Control Panel'!$B$4)</f>
        <v>0.16931774704496946</v>
      </c>
      <c r="D5" s="8">
        <f>C5*(1+'Control Panel'!$B$4)</f>
        <v>0.17778363439721795</v>
      </c>
      <c r="E5" s="8">
        <f>D5*(1+'Control Panel'!$B$4)</f>
        <v>0.18667281611707887</v>
      </c>
      <c r="F5" s="8">
        <f>E5*(1+'Control Panel'!$B$4)</f>
        <v>0.19600645692293281</v>
      </c>
      <c r="G5" s="8">
        <f>F5*(1+'Control Panel'!$B$4)</f>
        <v>0.20580677976907946</v>
      </c>
      <c r="H5" s="8">
        <f>G5*(1+'Control Panel'!$B$4)</f>
        <v>0.21609711875753346</v>
      </c>
      <c r="I5" s="8">
        <f>H5*(1+'Control Panel'!$B$4)</f>
        <v>0.22690197469541015</v>
      </c>
      <c r="J5" s="8">
        <f>I5*(1+'Control Panel'!$B$4)</f>
        <v>0.23824707343018067</v>
      </c>
      <c r="K5" s="8">
        <f>J5*(1+'Control Panel'!$B$4)</f>
        <v>0.2501594271016897</v>
      </c>
      <c r="L5" s="8">
        <f>K5*(1+'Control Panel'!$B$4)</f>
        <v>0.26266739845677423</v>
      </c>
      <c r="M5" s="8">
        <f>L5*(1+'Control Panel'!$B$4)</f>
        <v>0.27580076837961293</v>
      </c>
      <c r="N5" s="2"/>
    </row>
    <row r="6" spans="1:16" x14ac:dyDescent="0.35">
      <c r="A6" t="s">
        <v>72</v>
      </c>
      <c r="B6" s="7">
        <f>'Year 2 Cash Budget'!B6</f>
        <v>1</v>
      </c>
      <c r="C6" s="7">
        <f>'Year 2 Cash Budget'!C6</f>
        <v>1</v>
      </c>
      <c r="D6" s="7">
        <f>'Year 2 Cash Budget'!D6</f>
        <v>1</v>
      </c>
      <c r="E6" s="7">
        <f>'Year 2 Cash Budget'!E6</f>
        <v>1</v>
      </c>
      <c r="F6" s="7">
        <f>'Year 2 Cash Budget'!F6</f>
        <v>1</v>
      </c>
      <c r="G6" s="7">
        <f>'Year 2 Cash Budget'!G6</f>
        <v>1</v>
      </c>
      <c r="H6" s="7">
        <f>'Year 2 Cash Budget'!H6</f>
        <v>1</v>
      </c>
      <c r="I6" s="7">
        <f>'Year 2 Cash Budget'!I6</f>
        <v>1</v>
      </c>
      <c r="J6" s="7">
        <f>'Year 2 Cash Budget'!J6</f>
        <v>1</v>
      </c>
      <c r="K6" s="7">
        <f>'Year 2 Cash Budget'!K6</f>
        <v>1</v>
      </c>
      <c r="L6" s="7">
        <f>'Year 2 Cash Budget'!L6</f>
        <v>1</v>
      </c>
      <c r="M6" s="7">
        <f>'Year 2 Cash Budget'!M6</f>
        <v>1</v>
      </c>
      <c r="N6" s="2"/>
    </row>
    <row r="7" spans="1:16" x14ac:dyDescent="0.35">
      <c r="A7" t="s">
        <v>73</v>
      </c>
      <c r="B7" s="2">
        <f>B3*B4</f>
        <v>17400</v>
      </c>
      <c r="C7" s="2">
        <f t="shared" ref="C7:M7" si="1">C3*C4</f>
        <v>17550</v>
      </c>
      <c r="D7" s="2">
        <f t="shared" si="1"/>
        <v>17650</v>
      </c>
      <c r="E7" s="2">
        <f t="shared" si="1"/>
        <v>17800</v>
      </c>
      <c r="F7" s="2">
        <f t="shared" si="1"/>
        <v>17950</v>
      </c>
      <c r="G7" s="2">
        <f t="shared" si="1"/>
        <v>18100</v>
      </c>
      <c r="H7" s="2">
        <f t="shared" si="1"/>
        <v>18250</v>
      </c>
      <c r="I7" s="2">
        <f t="shared" si="1"/>
        <v>18400</v>
      </c>
      <c r="J7" s="2">
        <f t="shared" si="1"/>
        <v>18550</v>
      </c>
      <c r="K7" s="2">
        <f t="shared" si="1"/>
        <v>18750</v>
      </c>
      <c r="L7" s="2">
        <f t="shared" si="1"/>
        <v>18950</v>
      </c>
      <c r="M7" s="2">
        <f t="shared" si="1"/>
        <v>19150</v>
      </c>
      <c r="N7" s="2">
        <f>SUM(B7:M7)</f>
        <v>218500</v>
      </c>
      <c r="O7" t="s">
        <v>74</v>
      </c>
      <c r="P7" s="2">
        <f>(M7*'Control Panel'!$B$8)*(1/4)+(M7*'Control Panel'!$B$9)</f>
        <v>4787.5</v>
      </c>
    </row>
    <row r="8" spans="1:16" x14ac:dyDescent="0.3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P8" s="3"/>
    </row>
    <row r="9" spans="1:16" x14ac:dyDescent="0.35">
      <c r="A9" t="s">
        <v>75</v>
      </c>
      <c r="B9" s="2">
        <f>'Financial Statements'!C19</f>
        <v>193219</v>
      </c>
      <c r="C9" s="2">
        <f>B46</f>
        <v>199539</v>
      </c>
      <c r="D9" s="2">
        <f t="shared" ref="D9:M9" si="2">C46</f>
        <v>205961.5</v>
      </c>
      <c r="E9" s="2">
        <f t="shared" si="2"/>
        <v>212444</v>
      </c>
      <c r="F9" s="2">
        <f t="shared" si="2"/>
        <v>219029</v>
      </c>
      <c r="G9" s="2">
        <f t="shared" si="2"/>
        <v>225711.5</v>
      </c>
      <c r="H9" s="2">
        <f t="shared" si="2"/>
        <v>232491.5</v>
      </c>
      <c r="I9" s="2">
        <f t="shared" si="2"/>
        <v>239369</v>
      </c>
      <c r="J9" s="2">
        <f t="shared" si="2"/>
        <v>246344</v>
      </c>
      <c r="K9" s="2">
        <f t="shared" si="2"/>
        <v>253416.5</v>
      </c>
      <c r="L9" s="2">
        <f t="shared" si="2"/>
        <v>260624</v>
      </c>
      <c r="M9" s="2">
        <f t="shared" si="2"/>
        <v>267961.5</v>
      </c>
      <c r="N9" s="2"/>
      <c r="P9" s="13"/>
    </row>
    <row r="10" spans="1:16" x14ac:dyDescent="0.35">
      <c r="A10" t="s">
        <v>76</v>
      </c>
      <c r="B10" s="2">
        <f>B7*'Control Panel'!$B$7</f>
        <v>0</v>
      </c>
      <c r="C10" s="2">
        <f>C7*'Control Panel'!$B$7</f>
        <v>0</v>
      </c>
      <c r="D10" s="2">
        <f>D7*'Control Panel'!$B$7</f>
        <v>0</v>
      </c>
      <c r="E10" s="2">
        <f>E7*'Control Panel'!$B$7</f>
        <v>0</v>
      </c>
      <c r="F10" s="2">
        <f>F7*'Control Panel'!$B$7</f>
        <v>0</v>
      </c>
      <c r="G10" s="2">
        <f>G7*'Control Panel'!$B$7</f>
        <v>0</v>
      </c>
      <c r="H10" s="2">
        <f>H7*'Control Panel'!$B$7</f>
        <v>0</v>
      </c>
      <c r="I10" s="2">
        <f>I7*'Control Panel'!$B$7</f>
        <v>0</v>
      </c>
      <c r="J10" s="2">
        <f>J7*'Control Panel'!$B$7</f>
        <v>0</v>
      </c>
      <c r="K10" s="2">
        <f>K7*'Control Panel'!$B$7</f>
        <v>0</v>
      </c>
      <c r="L10" s="2">
        <f>L7*'Control Panel'!$B$7</f>
        <v>0</v>
      </c>
      <c r="M10" s="2">
        <f>M7*'Control Panel'!$B$7</f>
        <v>0</v>
      </c>
      <c r="N10" s="2">
        <f>SUM(B10:M10)</f>
        <v>0</v>
      </c>
    </row>
    <row r="11" spans="1:16" x14ac:dyDescent="0.35">
      <c r="A11" t="s">
        <v>77</v>
      </c>
      <c r="B11" s="2">
        <f>(B7*'Control Panel'!$B$8)*(3/4)</f>
        <v>13050</v>
      </c>
      <c r="C11" s="2">
        <f>(C7*'Control Panel'!$B$8)*(3/4)</f>
        <v>13162.5</v>
      </c>
      <c r="D11" s="2">
        <f>(D7*'Control Panel'!$B$8)*(3/4)</f>
        <v>13237.5</v>
      </c>
      <c r="E11" s="2">
        <f>(E7*'Control Panel'!$B$8)*(3/4)</f>
        <v>13350</v>
      </c>
      <c r="F11" s="2">
        <f>(F7*'Control Panel'!$B$8)*(3/4)</f>
        <v>13462.5</v>
      </c>
      <c r="G11" s="2">
        <f>(G7*'Control Panel'!$B$8)*(3/4)</f>
        <v>13575</v>
      </c>
      <c r="H11" s="2">
        <f>(H7*'Control Panel'!$B$8)*(3/4)</f>
        <v>13687.5</v>
      </c>
      <c r="I11" s="2">
        <f>(I7*'Control Panel'!$B$8)*(3/4)</f>
        <v>13800</v>
      </c>
      <c r="J11" s="2">
        <f>(J7*'Control Panel'!$B$8)*(3/4)</f>
        <v>13912.5</v>
      </c>
      <c r="K11" s="2">
        <f>(K7*'Control Panel'!$B$8)*(3/4)</f>
        <v>14062.5</v>
      </c>
      <c r="L11" s="2">
        <f>(L7*'Control Panel'!$B$8)*(3/4)</f>
        <v>14212.5</v>
      </c>
      <c r="M11" s="2">
        <f>(M7*'Control Panel'!$B$8)*(3/4)</f>
        <v>14362.5</v>
      </c>
      <c r="N11" s="2">
        <f>SUM(B11:M11)</f>
        <v>163875</v>
      </c>
    </row>
    <row r="12" spans="1:16" x14ac:dyDescent="0.35">
      <c r="A12" t="s">
        <v>78</v>
      </c>
      <c r="B12" s="2">
        <f>('Year 2 Cash Budget'!M7*'Control Panel'!$B$8)*(1/4)</f>
        <v>4325</v>
      </c>
      <c r="C12" s="2">
        <f>(B7*'Control Panel'!$B$8)*(1/4)</f>
        <v>4350</v>
      </c>
      <c r="D12" s="2">
        <f>(C7*'Control Panel'!$B$8)*(1/4)</f>
        <v>4387.5</v>
      </c>
      <c r="E12" s="2">
        <f>(D7*'Control Panel'!$B$8)*(1/4)</f>
        <v>4412.5</v>
      </c>
      <c r="F12" s="2">
        <f>(E7*'Control Panel'!$B$8)*(1/4)</f>
        <v>4450</v>
      </c>
      <c r="G12" s="2">
        <f>(F7*'Control Panel'!$B$8)*(1/4)</f>
        <v>4487.5</v>
      </c>
      <c r="H12" s="2">
        <f>(G7*'Control Panel'!$B$8)*(1/4)</f>
        <v>4525</v>
      </c>
      <c r="I12" s="2">
        <f>(H7*'Control Panel'!$B$8)*(1/4)</f>
        <v>4562.5</v>
      </c>
      <c r="J12" s="2">
        <f>(I7*'Control Panel'!$B$8)*(1/4)</f>
        <v>4600</v>
      </c>
      <c r="K12" s="2">
        <f>(J7*'Control Panel'!$B$8)*(1/4)</f>
        <v>4637.5</v>
      </c>
      <c r="L12" s="2">
        <f>(K7*'Control Panel'!$B$8)*(1/4)</f>
        <v>4687.5</v>
      </c>
      <c r="M12" s="2">
        <f>(L7*'Control Panel'!$B$8)*(1/4)</f>
        <v>4737.5</v>
      </c>
      <c r="N12" s="2">
        <f>SUM(B12:M12)</f>
        <v>54162.5</v>
      </c>
    </row>
    <row r="13" spans="1:16" x14ac:dyDescent="0.35">
      <c r="A13" t="s">
        <v>79</v>
      </c>
      <c r="B13" s="2">
        <f>('Year 2 Cash Budget'!M7*'Control Panel'!$B$9)</f>
        <v>0</v>
      </c>
      <c r="C13" s="2">
        <f>(B7*'Control Panel'!$B$9)</f>
        <v>0</v>
      </c>
      <c r="D13" s="2">
        <f>(C7*'Control Panel'!$B$9)</f>
        <v>0</v>
      </c>
      <c r="E13" s="2">
        <f>(D7*'Control Panel'!$B$9)</f>
        <v>0</v>
      </c>
      <c r="F13" s="2">
        <f>(E7*'Control Panel'!$B$9)</f>
        <v>0</v>
      </c>
      <c r="G13" s="2">
        <f>(F7*'Control Panel'!$B$9)</f>
        <v>0</v>
      </c>
      <c r="H13" s="2">
        <f>(G7*'Control Panel'!$B$9)</f>
        <v>0</v>
      </c>
      <c r="I13" s="2">
        <f>(H7*'Control Panel'!$B$9)</f>
        <v>0</v>
      </c>
      <c r="J13" s="2">
        <f>(I7*'Control Panel'!$B$9)</f>
        <v>0</v>
      </c>
      <c r="K13" s="2">
        <f>(J7*'Control Panel'!$B$9)</f>
        <v>0</v>
      </c>
      <c r="L13" s="2">
        <f>(K7*'Control Panel'!$B$9)</f>
        <v>0</v>
      </c>
      <c r="M13" s="2">
        <f>(L7*'Control Panel'!$B$9)</f>
        <v>0</v>
      </c>
      <c r="N13" s="2">
        <f>SUM(B13:M13)</f>
        <v>0</v>
      </c>
    </row>
    <row r="14" spans="1:16" x14ac:dyDescent="0.35">
      <c r="A14" t="s">
        <v>80</v>
      </c>
      <c r="B14" s="2">
        <f>SUM(B10:B13)</f>
        <v>17375</v>
      </c>
      <c r="C14" s="2">
        <f t="shared" ref="C14:M14" si="3">SUM(C10:C13)</f>
        <v>17512.5</v>
      </c>
      <c r="D14" s="2">
        <f t="shared" si="3"/>
        <v>17625</v>
      </c>
      <c r="E14" s="2">
        <f t="shared" si="3"/>
        <v>17762.5</v>
      </c>
      <c r="F14" s="2">
        <f t="shared" si="3"/>
        <v>17912.5</v>
      </c>
      <c r="G14" s="2">
        <f t="shared" si="3"/>
        <v>18062.5</v>
      </c>
      <c r="H14" s="2">
        <f t="shared" si="3"/>
        <v>18212.5</v>
      </c>
      <c r="I14" s="2">
        <f t="shared" si="3"/>
        <v>18362.5</v>
      </c>
      <c r="J14" s="2">
        <f t="shared" si="3"/>
        <v>18512.5</v>
      </c>
      <c r="K14" s="2">
        <f t="shared" si="3"/>
        <v>18700</v>
      </c>
      <c r="L14" s="2">
        <f t="shared" si="3"/>
        <v>18900</v>
      </c>
      <c r="M14" s="2">
        <f t="shared" si="3"/>
        <v>19100</v>
      </c>
      <c r="N14" s="2">
        <f>SUM(N10:N13)</f>
        <v>218037.5</v>
      </c>
    </row>
    <row r="15" spans="1:16" x14ac:dyDescent="0.3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6" x14ac:dyDescent="0.35">
      <c r="A16" t="s">
        <v>81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>
        <f>SUM(B16:M16)</f>
        <v>0</v>
      </c>
    </row>
    <row r="17" spans="1:16" x14ac:dyDescent="0.3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6" x14ac:dyDescent="0.35">
      <c r="A18" t="s">
        <v>82</v>
      </c>
      <c r="B18" s="2">
        <f>(B7*'Control Panel'!$B$11)*(1-'Control Panel'!$B$13)</f>
        <v>0</v>
      </c>
      <c r="C18" s="2">
        <f>(C7*'Control Panel'!$B$11)*(1-'Control Panel'!$B$13)</f>
        <v>0</v>
      </c>
      <c r="D18" s="2">
        <f>(D7*'Control Panel'!$B$11)*(1-'Control Panel'!$B$13)</f>
        <v>0</v>
      </c>
      <c r="E18" s="2">
        <f>(E7*'Control Panel'!$B$11)*(1-'Control Panel'!$B$13)</f>
        <v>0</v>
      </c>
      <c r="F18" s="2">
        <f>(F7*'Control Panel'!$B$11)*(1-'Control Panel'!$B$13)</f>
        <v>0</v>
      </c>
      <c r="G18" s="2">
        <f>(G7*'Control Panel'!$B$11)*(1-'Control Panel'!$B$13)</f>
        <v>0</v>
      </c>
      <c r="H18" s="2">
        <f>(H7*'Control Panel'!$B$11)*(1-'Control Panel'!$B$13)</f>
        <v>0</v>
      </c>
      <c r="I18" s="2">
        <f>(I7*'Control Panel'!$B$11)*(1-'Control Panel'!$B$13)</f>
        <v>0</v>
      </c>
      <c r="J18" s="2">
        <f>(J7*'Control Panel'!$B$11)*(1-'Control Panel'!$B$13)</f>
        <v>0</v>
      </c>
      <c r="K18" s="2">
        <f>(K7*'Control Panel'!$B$11)*(1-'Control Panel'!$B$13)</f>
        <v>0</v>
      </c>
      <c r="L18" s="2">
        <f>(L7*'Control Panel'!$B$11)*(1-'Control Panel'!$B$13)</f>
        <v>0</v>
      </c>
      <c r="M18" s="2">
        <f>(M7*'Control Panel'!$B$11)*(1-'Control Panel'!$B$13)</f>
        <v>0</v>
      </c>
      <c r="N18" s="2">
        <f>SUM(B18:M18)</f>
        <v>0</v>
      </c>
    </row>
    <row r="19" spans="1:16" x14ac:dyDescent="0.35">
      <c r="A19" t="s">
        <v>83</v>
      </c>
      <c r="B19" s="2">
        <f>('Year 2 Cash Budget'!M7*'Control Panel'!$B$11)*('Control Panel'!$B$13)</f>
        <v>6055</v>
      </c>
      <c r="C19" s="2">
        <f>(B7*'Control Panel'!$B$11)*('Control Panel'!$B$13)</f>
        <v>6090</v>
      </c>
      <c r="D19" s="2">
        <f>(C7*'Control Panel'!$B$11)*('Control Panel'!$B$13)</f>
        <v>6142.5</v>
      </c>
      <c r="E19" s="2">
        <f>(D7*'Control Panel'!$B$11)*('Control Panel'!$B$13)</f>
        <v>6177.5</v>
      </c>
      <c r="F19" s="2">
        <f>(E7*'Control Panel'!$B$11)*('Control Panel'!$B$13)</f>
        <v>6230</v>
      </c>
      <c r="G19" s="2">
        <f>(F7*'Control Panel'!$B$11)*('Control Panel'!$B$13)</f>
        <v>6282.5</v>
      </c>
      <c r="H19" s="2">
        <f>(G7*'Control Panel'!$B$11)*('Control Panel'!$B$13)</f>
        <v>6335</v>
      </c>
      <c r="I19" s="2">
        <f>(H7*'Control Panel'!$B$11)*('Control Panel'!$B$13)</f>
        <v>6387.5</v>
      </c>
      <c r="J19" s="2">
        <f>(I7*'Control Panel'!$B$11)*('Control Panel'!$B$13)</f>
        <v>6440</v>
      </c>
      <c r="K19" s="2">
        <f>(J7*'Control Panel'!$B$11)*('Control Panel'!$B$13)</f>
        <v>6492.5</v>
      </c>
      <c r="L19" s="2">
        <f>(K7*'Control Panel'!$B$11)*('Control Panel'!$B$13)</f>
        <v>6562.5</v>
      </c>
      <c r="M19" s="2">
        <f>(L7*'Control Panel'!$B$11)*('Control Panel'!$B$13)</f>
        <v>6632.5</v>
      </c>
      <c r="N19" s="2">
        <f>SUM(B19:M19)</f>
        <v>75827.5</v>
      </c>
    </row>
    <row r="20" spans="1:16" x14ac:dyDescent="0.35">
      <c r="A20" t="s">
        <v>84</v>
      </c>
      <c r="B20" s="2">
        <f>SUM(B18:B19)</f>
        <v>6055</v>
      </c>
      <c r="C20" s="2">
        <f t="shared" ref="C20:M20" si="4">SUM(C18:C19)</f>
        <v>6090</v>
      </c>
      <c r="D20" s="2">
        <f t="shared" si="4"/>
        <v>6142.5</v>
      </c>
      <c r="E20" s="2">
        <f t="shared" si="4"/>
        <v>6177.5</v>
      </c>
      <c r="F20" s="2">
        <f t="shared" si="4"/>
        <v>6230</v>
      </c>
      <c r="G20" s="2">
        <f t="shared" si="4"/>
        <v>6282.5</v>
      </c>
      <c r="H20" s="2">
        <f t="shared" si="4"/>
        <v>6335</v>
      </c>
      <c r="I20" s="2">
        <f t="shared" si="4"/>
        <v>6387.5</v>
      </c>
      <c r="J20" s="2">
        <f t="shared" si="4"/>
        <v>6440</v>
      </c>
      <c r="K20" s="2">
        <f t="shared" si="4"/>
        <v>6492.5</v>
      </c>
      <c r="L20" s="2">
        <f t="shared" si="4"/>
        <v>6562.5</v>
      </c>
      <c r="M20" s="2">
        <f t="shared" si="4"/>
        <v>6632.5</v>
      </c>
      <c r="N20" s="2">
        <f>SUM(N18:N19)</f>
        <v>75827.5</v>
      </c>
      <c r="O20" t="s">
        <v>85</v>
      </c>
      <c r="P20" s="3">
        <f>(M7*'Control Panel'!$B$11)*('Control Panel'!$B$13)</f>
        <v>6702.5</v>
      </c>
    </row>
    <row r="21" spans="1:16" x14ac:dyDescent="0.3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6" x14ac:dyDescent="0.35">
      <c r="A22" t="s">
        <v>32</v>
      </c>
      <c r="B22" s="2">
        <f>'Year 2 Cash Budget'!B22</f>
        <v>0</v>
      </c>
      <c r="C22" s="2">
        <f>'Year 2 Cash Budget'!C22</f>
        <v>0</v>
      </c>
      <c r="D22" s="2">
        <f>'Year 2 Cash Budget'!D22</f>
        <v>0</v>
      </c>
      <c r="E22" s="2">
        <f>'Year 2 Cash Budget'!E22</f>
        <v>0</v>
      </c>
      <c r="F22" s="2">
        <f>'Year 2 Cash Budget'!F22</f>
        <v>0</v>
      </c>
      <c r="G22" s="2">
        <f>'Year 2 Cash Budget'!G22</f>
        <v>0</v>
      </c>
      <c r="H22" s="2">
        <f>'Year 2 Cash Budget'!H22</f>
        <v>0</v>
      </c>
      <c r="I22" s="2">
        <f>'Year 2 Cash Budget'!I22</f>
        <v>0</v>
      </c>
      <c r="J22" s="2">
        <f>'Year 2 Cash Budget'!J22</f>
        <v>0</v>
      </c>
      <c r="K22" s="2">
        <f>'Year 2 Cash Budget'!K22</f>
        <v>0</v>
      </c>
      <c r="L22" s="2">
        <f>'Year 2 Cash Budget'!L22</f>
        <v>0</v>
      </c>
      <c r="M22" s="2">
        <f>'Year 2 Cash Budget'!M22</f>
        <v>0</v>
      </c>
      <c r="N22" s="2">
        <f t="shared" ref="N22:N37" si="5">SUM(B22:M22)</f>
        <v>0</v>
      </c>
    </row>
    <row r="23" spans="1:16" x14ac:dyDescent="0.35">
      <c r="A23" t="s">
        <v>33</v>
      </c>
      <c r="B23" s="2">
        <f>'Year 2 Cash Budget'!B23</f>
        <v>0</v>
      </c>
      <c r="C23" s="2">
        <f>'Year 2 Cash Budget'!C23</f>
        <v>0</v>
      </c>
      <c r="D23" s="2">
        <f>'Year 2 Cash Budget'!D23</f>
        <v>0</v>
      </c>
      <c r="E23" s="2">
        <f>'Year 2 Cash Budget'!E23</f>
        <v>0</v>
      </c>
      <c r="F23" s="2">
        <f>'Year 2 Cash Budget'!F23</f>
        <v>0</v>
      </c>
      <c r="G23" s="2">
        <f>'Year 2 Cash Budget'!G23</f>
        <v>0</v>
      </c>
      <c r="H23" s="2">
        <f>'Year 2 Cash Budget'!H23</f>
        <v>0</v>
      </c>
      <c r="I23" s="2">
        <f>'Year 2 Cash Budget'!I23</f>
        <v>0</v>
      </c>
      <c r="J23" s="2">
        <f>'Year 2 Cash Budget'!J23</f>
        <v>0</v>
      </c>
      <c r="K23" s="2">
        <f>'Year 2 Cash Budget'!K23</f>
        <v>0</v>
      </c>
      <c r="L23" s="2">
        <f>'Year 2 Cash Budget'!L23</f>
        <v>0</v>
      </c>
      <c r="M23" s="2">
        <f>'Year 2 Cash Budget'!M23</f>
        <v>0</v>
      </c>
      <c r="N23" s="2">
        <f t="shared" si="5"/>
        <v>0</v>
      </c>
    </row>
    <row r="24" spans="1:16" x14ac:dyDescent="0.35">
      <c r="A24" t="s">
        <v>34</v>
      </c>
      <c r="B24" s="2">
        <f>'Year 2 Cash Budget'!B24</f>
        <v>0</v>
      </c>
      <c r="C24" s="2">
        <f>'Year 2 Cash Budget'!C24</f>
        <v>0</v>
      </c>
      <c r="D24" s="2">
        <f>'Year 2 Cash Budget'!D24</f>
        <v>0</v>
      </c>
      <c r="E24" s="2">
        <f>'Year 2 Cash Budget'!E24</f>
        <v>0</v>
      </c>
      <c r="F24" s="2">
        <f>'Year 2 Cash Budget'!F24</f>
        <v>0</v>
      </c>
      <c r="G24" s="2">
        <f>'Year 2 Cash Budget'!G24</f>
        <v>0</v>
      </c>
      <c r="H24" s="2">
        <f>'Year 2 Cash Budget'!H24</f>
        <v>0</v>
      </c>
      <c r="I24" s="2">
        <f>'Year 2 Cash Budget'!I24</f>
        <v>0</v>
      </c>
      <c r="J24" s="2">
        <f>'Year 2 Cash Budget'!J24</f>
        <v>0</v>
      </c>
      <c r="K24" s="2">
        <f>'Year 2 Cash Budget'!K24</f>
        <v>0</v>
      </c>
      <c r="L24" s="2">
        <f>'Year 2 Cash Budget'!L24</f>
        <v>0</v>
      </c>
      <c r="M24" s="2">
        <f>'Year 2 Cash Budget'!M24</f>
        <v>0</v>
      </c>
      <c r="N24" s="2">
        <f t="shared" si="5"/>
        <v>0</v>
      </c>
    </row>
    <row r="25" spans="1:16" x14ac:dyDescent="0.35">
      <c r="A25" t="s">
        <v>35</v>
      </c>
      <c r="B25" s="2">
        <f>'Year 2 Cash Budget'!B25</f>
        <v>0</v>
      </c>
      <c r="C25" s="2">
        <f>'Year 2 Cash Budget'!C25</f>
        <v>0</v>
      </c>
      <c r="D25" s="2">
        <f>'Year 2 Cash Budget'!D25</f>
        <v>0</v>
      </c>
      <c r="E25" s="2">
        <f>'Year 2 Cash Budget'!E25</f>
        <v>0</v>
      </c>
      <c r="F25" s="2">
        <f>'Year 2 Cash Budget'!F25</f>
        <v>0</v>
      </c>
      <c r="G25" s="2">
        <f>'Year 2 Cash Budget'!G25</f>
        <v>0</v>
      </c>
      <c r="H25" s="2">
        <f>'Year 2 Cash Budget'!H25</f>
        <v>0</v>
      </c>
      <c r="I25" s="2">
        <f>'Year 2 Cash Budget'!I25</f>
        <v>0</v>
      </c>
      <c r="J25" s="2">
        <f>'Year 2 Cash Budget'!J25</f>
        <v>0</v>
      </c>
      <c r="K25" s="2">
        <f>'Year 2 Cash Budget'!K25</f>
        <v>0</v>
      </c>
      <c r="L25" s="2">
        <f>'Year 2 Cash Budget'!L25</f>
        <v>0</v>
      </c>
      <c r="M25" s="2">
        <f>'Year 2 Cash Budget'!M25</f>
        <v>0</v>
      </c>
      <c r="N25" s="2">
        <f t="shared" si="5"/>
        <v>0</v>
      </c>
    </row>
    <row r="26" spans="1:16" x14ac:dyDescent="0.35">
      <c r="A26" t="s">
        <v>36</v>
      </c>
      <c r="B26" s="2">
        <f>'Year 2 Cash Budget'!B26</f>
        <v>0</v>
      </c>
      <c r="C26" s="2">
        <f>'Year 2 Cash Budget'!C26</f>
        <v>0</v>
      </c>
      <c r="D26" s="2">
        <f>'Year 2 Cash Budget'!D26</f>
        <v>0</v>
      </c>
      <c r="E26" s="2">
        <f>'Year 2 Cash Budget'!E26</f>
        <v>0</v>
      </c>
      <c r="F26" s="2">
        <f>'Year 2 Cash Budget'!F26</f>
        <v>0</v>
      </c>
      <c r="G26" s="2">
        <f>'Year 2 Cash Budget'!G26</f>
        <v>0</v>
      </c>
      <c r="H26" s="2">
        <f>'Year 2 Cash Budget'!H26</f>
        <v>0</v>
      </c>
      <c r="I26" s="2">
        <f>'Year 2 Cash Budget'!I26</f>
        <v>0</v>
      </c>
      <c r="J26" s="2">
        <f>'Year 2 Cash Budget'!J26</f>
        <v>0</v>
      </c>
      <c r="K26" s="2">
        <f>'Year 2 Cash Budget'!K26</f>
        <v>0</v>
      </c>
      <c r="L26" s="2">
        <f>'Year 2 Cash Budget'!L26</f>
        <v>0</v>
      </c>
      <c r="M26" s="2">
        <f>'Year 2 Cash Budget'!M26</f>
        <v>0</v>
      </c>
      <c r="N26" s="2">
        <f t="shared" si="5"/>
        <v>0</v>
      </c>
    </row>
    <row r="27" spans="1:16" x14ac:dyDescent="0.35">
      <c r="A27" t="s">
        <v>37</v>
      </c>
      <c r="B27" s="2">
        <f>'Year 2 Cash Budget'!B27</f>
        <v>0</v>
      </c>
      <c r="C27" s="2">
        <f>'Year 2 Cash Budget'!C27</f>
        <v>0</v>
      </c>
      <c r="D27" s="2">
        <f>'Year 2 Cash Budget'!D27</f>
        <v>0</v>
      </c>
      <c r="E27" s="2">
        <f>'Year 2 Cash Budget'!E27</f>
        <v>0</v>
      </c>
      <c r="F27" s="2">
        <f>'Year 2 Cash Budget'!F27</f>
        <v>0</v>
      </c>
      <c r="G27" s="2">
        <f>'Year 2 Cash Budget'!G27</f>
        <v>0</v>
      </c>
      <c r="H27" s="2">
        <f>'Year 2 Cash Budget'!H27</f>
        <v>0</v>
      </c>
      <c r="I27" s="2">
        <f>'Year 2 Cash Budget'!I27</f>
        <v>0</v>
      </c>
      <c r="J27" s="2">
        <f>'Year 2 Cash Budget'!J27</f>
        <v>0</v>
      </c>
      <c r="K27" s="2">
        <f>'Year 2 Cash Budget'!K27</f>
        <v>0</v>
      </c>
      <c r="L27" s="2">
        <f>'Year 2 Cash Budget'!L27</f>
        <v>0</v>
      </c>
      <c r="M27" s="2">
        <f>'Year 2 Cash Budget'!M27</f>
        <v>0</v>
      </c>
      <c r="N27" s="2">
        <f t="shared" si="5"/>
        <v>0</v>
      </c>
    </row>
    <row r="28" spans="1:16" x14ac:dyDescent="0.35">
      <c r="A28" t="s">
        <v>38</v>
      </c>
      <c r="B28" s="2">
        <f>'Year 2 Cash Budget'!B28</f>
        <v>0</v>
      </c>
      <c r="C28" s="2">
        <f>'Year 2 Cash Budget'!C28</f>
        <v>0</v>
      </c>
      <c r="D28" s="2">
        <f>'Year 2 Cash Budget'!D28</f>
        <v>0</v>
      </c>
      <c r="E28" s="2">
        <f>'Year 2 Cash Budget'!E28</f>
        <v>0</v>
      </c>
      <c r="F28" s="2">
        <f>'Year 2 Cash Budget'!F28</f>
        <v>0</v>
      </c>
      <c r="G28" s="2">
        <f>'Year 2 Cash Budget'!G28</f>
        <v>0</v>
      </c>
      <c r="H28" s="2">
        <f>'Year 2 Cash Budget'!H28</f>
        <v>0</v>
      </c>
      <c r="I28" s="2">
        <f>'Year 2 Cash Budget'!I28</f>
        <v>0</v>
      </c>
      <c r="J28" s="2">
        <f>'Year 2 Cash Budget'!J28</f>
        <v>0</v>
      </c>
      <c r="K28" s="2">
        <f>'Year 2 Cash Budget'!K28</f>
        <v>0</v>
      </c>
      <c r="L28" s="2">
        <f>'Year 2 Cash Budget'!L28</f>
        <v>0</v>
      </c>
      <c r="M28" s="2">
        <f>'Year 2 Cash Budget'!M28</f>
        <v>0</v>
      </c>
      <c r="N28" s="2">
        <f t="shared" si="5"/>
        <v>0</v>
      </c>
    </row>
    <row r="29" spans="1:16" x14ac:dyDescent="0.35">
      <c r="A29" t="s">
        <v>39</v>
      </c>
      <c r="B29" s="2">
        <f>'Year 2 Cash Budget'!B29</f>
        <v>0</v>
      </c>
      <c r="C29" s="2">
        <f>'Year 2 Cash Budget'!C29</f>
        <v>0</v>
      </c>
      <c r="D29" s="2">
        <f>'Year 2 Cash Budget'!D29</f>
        <v>0</v>
      </c>
      <c r="E29" s="2">
        <f>'Year 2 Cash Budget'!E29</f>
        <v>0</v>
      </c>
      <c r="F29" s="2">
        <f>'Year 2 Cash Budget'!F29</f>
        <v>0</v>
      </c>
      <c r="G29" s="2">
        <f>'Year 2 Cash Budget'!G29</f>
        <v>0</v>
      </c>
      <c r="H29" s="2">
        <f>'Year 2 Cash Budget'!H29</f>
        <v>0</v>
      </c>
      <c r="I29" s="2">
        <f>'Year 2 Cash Budget'!I29</f>
        <v>0</v>
      </c>
      <c r="J29" s="2">
        <f>'Year 2 Cash Budget'!J29</f>
        <v>0</v>
      </c>
      <c r="K29" s="2">
        <f>'Year 2 Cash Budget'!K29</f>
        <v>0</v>
      </c>
      <c r="L29" s="2">
        <f>'Year 2 Cash Budget'!L29</f>
        <v>0</v>
      </c>
      <c r="M29" s="2">
        <f>'Year 2 Cash Budget'!M29</f>
        <v>0</v>
      </c>
      <c r="N29" s="2">
        <f t="shared" si="5"/>
        <v>0</v>
      </c>
    </row>
    <row r="30" spans="1:16" x14ac:dyDescent="0.35">
      <c r="A30" t="s">
        <v>41</v>
      </c>
      <c r="B30" s="2">
        <f>'Year 2 Cash Budget'!B30</f>
        <v>0</v>
      </c>
      <c r="C30" s="2">
        <f>'Year 2 Cash Budget'!C30</f>
        <v>0</v>
      </c>
      <c r="D30" s="2">
        <f>'Year 2 Cash Budget'!D30</f>
        <v>0</v>
      </c>
      <c r="E30" s="2">
        <f>'Year 2 Cash Budget'!E30</f>
        <v>0</v>
      </c>
      <c r="F30" s="2">
        <f>'Year 2 Cash Budget'!F30</f>
        <v>0</v>
      </c>
      <c r="G30" s="2">
        <f>'Year 2 Cash Budget'!G30</f>
        <v>0</v>
      </c>
      <c r="H30" s="2">
        <f>'Year 2 Cash Budget'!H30</f>
        <v>0</v>
      </c>
      <c r="I30" s="2">
        <f>'Year 2 Cash Budget'!I30</f>
        <v>0</v>
      </c>
      <c r="J30" s="2">
        <f>'Year 2 Cash Budget'!J30</f>
        <v>0</v>
      </c>
      <c r="K30" s="2">
        <f>'Year 2 Cash Budget'!K30</f>
        <v>0</v>
      </c>
      <c r="L30" s="2">
        <f>'Year 2 Cash Budget'!L30</f>
        <v>0</v>
      </c>
      <c r="M30" s="2">
        <f>'Year 2 Cash Budget'!M30</f>
        <v>0</v>
      </c>
      <c r="N30" s="2">
        <f t="shared" si="5"/>
        <v>0</v>
      </c>
    </row>
    <row r="31" spans="1:16" x14ac:dyDescent="0.35">
      <c r="A31" t="s">
        <v>86</v>
      </c>
      <c r="B31" s="2">
        <f>'Year 2 Cash Budget'!B31</f>
        <v>0</v>
      </c>
      <c r="C31" s="2">
        <f>'Year 2 Cash Budget'!C31</f>
        <v>0</v>
      </c>
      <c r="D31" s="2">
        <f>'Year 2 Cash Budget'!D31</f>
        <v>0</v>
      </c>
      <c r="E31" s="2">
        <f>'Year 2 Cash Budget'!E31</f>
        <v>0</v>
      </c>
      <c r="F31" s="2">
        <f>'Year 2 Cash Budget'!F31</f>
        <v>0</v>
      </c>
      <c r="G31" s="2">
        <f>'Year 2 Cash Budget'!G31</f>
        <v>0</v>
      </c>
      <c r="H31" s="2">
        <f>'Year 2 Cash Budget'!H31</f>
        <v>0</v>
      </c>
      <c r="I31" s="2">
        <f>'Year 2 Cash Budget'!I31</f>
        <v>0</v>
      </c>
      <c r="J31" s="2">
        <f>'Year 2 Cash Budget'!J31</f>
        <v>0</v>
      </c>
      <c r="K31" s="2">
        <f>'Year 2 Cash Budget'!K31</f>
        <v>0</v>
      </c>
      <c r="L31" s="2">
        <f>'Year 2 Cash Budget'!L31</f>
        <v>0</v>
      </c>
      <c r="M31" s="2">
        <f>'Year 2 Cash Budget'!M31</f>
        <v>0</v>
      </c>
      <c r="N31" s="2">
        <f t="shared" si="5"/>
        <v>0</v>
      </c>
    </row>
    <row r="32" spans="1:16" x14ac:dyDescent="0.35">
      <c r="A32" t="s">
        <v>45</v>
      </c>
      <c r="B32" s="2">
        <f>'Year 2 Cash Budget'!B32</f>
        <v>0</v>
      </c>
      <c r="C32" s="2">
        <f>'Year 2 Cash Budget'!C32</f>
        <v>0</v>
      </c>
      <c r="D32" s="2">
        <f>'Year 2 Cash Budget'!D32</f>
        <v>0</v>
      </c>
      <c r="E32" s="2">
        <f>'Year 2 Cash Budget'!E32</f>
        <v>0</v>
      </c>
      <c r="F32" s="2">
        <f>'Year 2 Cash Budget'!F32</f>
        <v>0</v>
      </c>
      <c r="G32" s="2">
        <f>'Year 2 Cash Budget'!G32</f>
        <v>0</v>
      </c>
      <c r="H32" s="2">
        <f>'Year 2 Cash Budget'!H32</f>
        <v>0</v>
      </c>
      <c r="I32" s="2">
        <f>'Year 2 Cash Budget'!I32</f>
        <v>0</v>
      </c>
      <c r="J32" s="2">
        <f>'Year 2 Cash Budget'!J32</f>
        <v>0</v>
      </c>
      <c r="K32" s="2">
        <f>'Year 2 Cash Budget'!K32</f>
        <v>0</v>
      </c>
      <c r="L32" s="2">
        <f>'Year 2 Cash Budget'!L32</f>
        <v>0</v>
      </c>
      <c r="M32" s="2">
        <f>'Year 2 Cash Budget'!M32</f>
        <v>0</v>
      </c>
      <c r="N32" s="2">
        <f t="shared" si="5"/>
        <v>0</v>
      </c>
    </row>
    <row r="33" spans="1:14" x14ac:dyDescent="0.35">
      <c r="A33" t="s">
        <v>46</v>
      </c>
      <c r="B33" s="2">
        <f>'Year 2 Cash Budget'!B33</f>
        <v>0</v>
      </c>
      <c r="C33" s="2">
        <f>'Year 2 Cash Budget'!C33</f>
        <v>0</v>
      </c>
      <c r="D33" s="2">
        <f>'Year 2 Cash Budget'!D33</f>
        <v>0</v>
      </c>
      <c r="E33" s="2">
        <f>'Year 2 Cash Budget'!E33</f>
        <v>0</v>
      </c>
      <c r="F33" s="2">
        <f>'Year 2 Cash Budget'!F33</f>
        <v>0</v>
      </c>
      <c r="G33" s="2">
        <f>'Year 2 Cash Budget'!G33</f>
        <v>0</v>
      </c>
      <c r="H33" s="2">
        <f>'Year 2 Cash Budget'!H33</f>
        <v>0</v>
      </c>
      <c r="I33" s="2">
        <f>'Year 2 Cash Budget'!I33</f>
        <v>0</v>
      </c>
      <c r="J33" s="2">
        <f>'Year 2 Cash Budget'!J33</f>
        <v>0</v>
      </c>
      <c r="K33" s="2">
        <f>'Year 2 Cash Budget'!K33</f>
        <v>0</v>
      </c>
      <c r="L33" s="2">
        <f>'Year 2 Cash Budget'!L33</f>
        <v>0</v>
      </c>
      <c r="M33" s="2">
        <f>'Year 2 Cash Budget'!M33</f>
        <v>0</v>
      </c>
      <c r="N33" s="2">
        <f t="shared" si="5"/>
        <v>0</v>
      </c>
    </row>
    <row r="34" spans="1:14" x14ac:dyDescent="0.35">
      <c r="A34" t="s">
        <v>47</v>
      </c>
      <c r="B34" s="2">
        <f>'Year 2 Cash Budget'!B34</f>
        <v>0</v>
      </c>
      <c r="C34" s="2">
        <f>'Year 2 Cash Budget'!C34</f>
        <v>0</v>
      </c>
      <c r="D34" s="2">
        <f>'Year 2 Cash Budget'!D34</f>
        <v>0</v>
      </c>
      <c r="E34" s="2">
        <f>'Year 2 Cash Budget'!E34</f>
        <v>0</v>
      </c>
      <c r="F34" s="2">
        <f>'Year 2 Cash Budget'!F34</f>
        <v>0</v>
      </c>
      <c r="G34" s="2">
        <f>'Year 2 Cash Budget'!G34</f>
        <v>0</v>
      </c>
      <c r="H34" s="2">
        <f>'Year 2 Cash Budget'!H34</f>
        <v>0</v>
      </c>
      <c r="I34" s="2">
        <f>'Year 2 Cash Budget'!I34</f>
        <v>0</v>
      </c>
      <c r="J34" s="2">
        <f>'Year 2 Cash Budget'!J34</f>
        <v>0</v>
      </c>
      <c r="K34" s="2">
        <f>'Year 2 Cash Budget'!K34</f>
        <v>0</v>
      </c>
      <c r="L34" s="2">
        <f>'Year 2 Cash Budget'!L34</f>
        <v>0</v>
      </c>
      <c r="M34" s="2">
        <f>'Year 2 Cash Budget'!M34</f>
        <v>0</v>
      </c>
      <c r="N34" s="2">
        <f t="shared" si="5"/>
        <v>0</v>
      </c>
    </row>
    <row r="35" spans="1:14" x14ac:dyDescent="0.35">
      <c r="A35" t="s">
        <v>48</v>
      </c>
      <c r="B35" s="2">
        <f>'Year 2 Cash Budget'!B35</f>
        <v>0</v>
      </c>
      <c r="C35" s="2">
        <f>'Year 2 Cash Budget'!C35</f>
        <v>0</v>
      </c>
      <c r="D35" s="2">
        <f>'Year 2 Cash Budget'!D35</f>
        <v>0</v>
      </c>
      <c r="E35" s="2">
        <f>'Year 2 Cash Budget'!E35</f>
        <v>0</v>
      </c>
      <c r="F35" s="2">
        <f>'Year 2 Cash Budget'!F35</f>
        <v>0</v>
      </c>
      <c r="G35" s="2">
        <f>'Year 2 Cash Budget'!G35</f>
        <v>0</v>
      </c>
      <c r="H35" s="2">
        <f>'Year 2 Cash Budget'!H35</f>
        <v>0</v>
      </c>
      <c r="I35" s="2">
        <f>'Year 2 Cash Budget'!I35</f>
        <v>0</v>
      </c>
      <c r="J35" s="2">
        <f>'Year 2 Cash Budget'!J35</f>
        <v>0</v>
      </c>
      <c r="K35" s="2">
        <f>'Year 2 Cash Budget'!K35</f>
        <v>0</v>
      </c>
      <c r="L35" s="2">
        <f>'Year 2 Cash Budget'!L35</f>
        <v>0</v>
      </c>
      <c r="M35" s="2">
        <f>'Year 2 Cash Budget'!M35</f>
        <v>0</v>
      </c>
      <c r="N35" s="2">
        <f t="shared" si="5"/>
        <v>0</v>
      </c>
    </row>
    <row r="36" spans="1:14" x14ac:dyDescent="0.35">
      <c r="A36" t="s">
        <v>87</v>
      </c>
      <c r="B36" s="2">
        <f>'Year 2 Cash Budget'!B36</f>
        <v>0</v>
      </c>
      <c r="C36" s="2">
        <f>'Year 2 Cash Budget'!C36</f>
        <v>0</v>
      </c>
      <c r="D36" s="2">
        <f>'Year 2 Cash Budget'!D36</f>
        <v>0</v>
      </c>
      <c r="E36" s="2">
        <f>'Year 2 Cash Budget'!E36</f>
        <v>0</v>
      </c>
      <c r="F36" s="2">
        <f>'Year 2 Cash Budget'!F36</f>
        <v>0</v>
      </c>
      <c r="G36" s="2">
        <f>'Year 2 Cash Budget'!G36</f>
        <v>0</v>
      </c>
      <c r="H36" s="2">
        <f>'Year 2 Cash Budget'!H36</f>
        <v>0</v>
      </c>
      <c r="I36" s="2">
        <f>'Year 2 Cash Budget'!I36</f>
        <v>0</v>
      </c>
      <c r="J36" s="2">
        <f>'Year 2 Cash Budget'!J36</f>
        <v>0</v>
      </c>
      <c r="K36" s="2">
        <f>'Year 2 Cash Budget'!K36</f>
        <v>0</v>
      </c>
      <c r="L36" s="2">
        <f>'Year 2 Cash Budget'!L36</f>
        <v>0</v>
      </c>
      <c r="M36" s="2">
        <f>'Year 2 Cash Budget'!M36</f>
        <v>0</v>
      </c>
      <c r="N36" s="2">
        <f t="shared" si="5"/>
        <v>0</v>
      </c>
    </row>
    <row r="37" spans="1:14" x14ac:dyDescent="0.35">
      <c r="A37" t="s">
        <v>51</v>
      </c>
      <c r="B37" s="2">
        <f>'Year 2 Cash Budget'!B37</f>
        <v>5000</v>
      </c>
      <c r="C37" s="2">
        <f>'Year 2 Cash Budget'!C37</f>
        <v>5000</v>
      </c>
      <c r="D37" s="2">
        <f>'Year 2 Cash Budget'!D37</f>
        <v>5000</v>
      </c>
      <c r="E37" s="2">
        <f>'Year 2 Cash Budget'!E37</f>
        <v>5000</v>
      </c>
      <c r="F37" s="2">
        <f>'Year 2 Cash Budget'!F37</f>
        <v>5000</v>
      </c>
      <c r="G37" s="2">
        <f>'Year 2 Cash Budget'!G37</f>
        <v>5000</v>
      </c>
      <c r="H37" s="2">
        <f>'Year 2 Cash Budget'!H37</f>
        <v>5000</v>
      </c>
      <c r="I37" s="2">
        <f>'Year 2 Cash Budget'!I37</f>
        <v>5000</v>
      </c>
      <c r="J37" s="2">
        <f>'Year 2 Cash Budget'!J37</f>
        <v>5000</v>
      </c>
      <c r="K37" s="2">
        <f>'Year 2 Cash Budget'!K37</f>
        <v>5000</v>
      </c>
      <c r="L37" s="2">
        <f>'Year 2 Cash Budget'!L37</f>
        <v>5000</v>
      </c>
      <c r="M37" s="2">
        <f>'Year 2 Cash Budget'!M37</f>
        <v>5000</v>
      </c>
      <c r="N37" s="2">
        <f t="shared" si="5"/>
        <v>60000</v>
      </c>
    </row>
    <row r="38" spans="1:14" x14ac:dyDescent="0.35">
      <c r="A38" t="s">
        <v>88</v>
      </c>
      <c r="B38" s="2">
        <f t="shared" ref="B38:I38" si="6">SUM(B22:B37)</f>
        <v>5000</v>
      </c>
      <c r="C38" s="2">
        <f t="shared" si="6"/>
        <v>5000</v>
      </c>
      <c r="D38" s="2">
        <f t="shared" si="6"/>
        <v>5000</v>
      </c>
      <c r="E38" s="2">
        <f t="shared" si="6"/>
        <v>5000</v>
      </c>
      <c r="F38" s="2">
        <f t="shared" si="6"/>
        <v>5000</v>
      </c>
      <c r="G38" s="2">
        <f t="shared" si="6"/>
        <v>5000</v>
      </c>
      <c r="H38" s="2">
        <f t="shared" si="6"/>
        <v>5000</v>
      </c>
      <c r="I38" s="2">
        <f t="shared" si="6"/>
        <v>5000</v>
      </c>
      <c r="J38" s="2">
        <f>SUM(J22:J37)</f>
        <v>5000</v>
      </c>
      <c r="K38" s="2">
        <f t="shared" ref="K38:N38" si="7">SUM(K22:K37)</f>
        <v>5000</v>
      </c>
      <c r="L38" s="2">
        <f t="shared" si="7"/>
        <v>5000</v>
      </c>
      <c r="M38" s="2">
        <f t="shared" si="7"/>
        <v>5000</v>
      </c>
      <c r="N38" s="2">
        <f t="shared" si="7"/>
        <v>60000</v>
      </c>
    </row>
    <row r="39" spans="1:14" x14ac:dyDescent="0.3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35">
      <c r="A40" t="s">
        <v>40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>
        <f>SUM(B40:M40)</f>
        <v>0</v>
      </c>
    </row>
    <row r="41" spans="1:14" x14ac:dyDescent="0.35">
      <c r="A41" t="s">
        <v>86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>
        <f>SUM(B41:M41)</f>
        <v>0</v>
      </c>
    </row>
    <row r="42" spans="1:14" x14ac:dyDescent="0.35">
      <c r="A42" t="s">
        <v>44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>
        <f>SUM(B42:M42)</f>
        <v>0</v>
      </c>
    </row>
    <row r="43" spans="1:14" x14ac:dyDescent="0.35">
      <c r="A43" t="s">
        <v>49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>
        <f>SUM(B43:M43)</f>
        <v>0</v>
      </c>
    </row>
    <row r="44" spans="1:14" x14ac:dyDescent="0.35">
      <c r="A44" t="s">
        <v>89</v>
      </c>
      <c r="B44" s="2">
        <f t="shared" ref="B44:N44" si="8">SUM(B40:B43)</f>
        <v>0</v>
      </c>
      <c r="C44" s="2">
        <f t="shared" si="8"/>
        <v>0</v>
      </c>
      <c r="D44" s="2">
        <f t="shared" si="8"/>
        <v>0</v>
      </c>
      <c r="E44" s="2">
        <f t="shared" si="8"/>
        <v>0</v>
      </c>
      <c r="F44" s="2">
        <f t="shared" si="8"/>
        <v>0</v>
      </c>
      <c r="G44" s="2">
        <f t="shared" si="8"/>
        <v>0</v>
      </c>
      <c r="H44" s="2">
        <f t="shared" si="8"/>
        <v>0</v>
      </c>
      <c r="I44" s="2">
        <f t="shared" si="8"/>
        <v>0</v>
      </c>
      <c r="J44" s="2">
        <f t="shared" si="8"/>
        <v>0</v>
      </c>
      <c r="K44" s="2">
        <f t="shared" si="8"/>
        <v>0</v>
      </c>
      <c r="L44" s="2">
        <f t="shared" si="8"/>
        <v>0</v>
      </c>
      <c r="M44" s="2">
        <f t="shared" si="8"/>
        <v>0</v>
      </c>
      <c r="N44" s="2">
        <f t="shared" si="8"/>
        <v>0</v>
      </c>
    </row>
    <row r="45" spans="1:14" x14ac:dyDescent="0.3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35">
      <c r="A46" t="s">
        <v>90</v>
      </c>
      <c r="B46" s="2">
        <f t="shared" ref="B46:M46" si="9">B9+B14-B20-B38-B44+B16</f>
        <v>199539</v>
      </c>
      <c r="C46" s="2">
        <f t="shared" si="9"/>
        <v>205961.5</v>
      </c>
      <c r="D46" s="2">
        <f t="shared" si="9"/>
        <v>212444</v>
      </c>
      <c r="E46" s="2">
        <f t="shared" si="9"/>
        <v>219029</v>
      </c>
      <c r="F46" s="2">
        <f t="shared" si="9"/>
        <v>225711.5</v>
      </c>
      <c r="G46" s="2">
        <f t="shared" si="9"/>
        <v>232491.5</v>
      </c>
      <c r="H46" s="2">
        <f t="shared" si="9"/>
        <v>239369</v>
      </c>
      <c r="I46" s="2">
        <f t="shared" si="9"/>
        <v>246344</v>
      </c>
      <c r="J46" s="2">
        <f t="shared" si="9"/>
        <v>253416.5</v>
      </c>
      <c r="K46" s="2">
        <f t="shared" si="9"/>
        <v>260624</v>
      </c>
      <c r="L46" s="2">
        <f t="shared" si="9"/>
        <v>267961.5</v>
      </c>
      <c r="M46" s="2">
        <f t="shared" si="9"/>
        <v>275429</v>
      </c>
      <c r="N46" s="2"/>
    </row>
    <row r="47" spans="1:14" x14ac:dyDescent="0.3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4" x14ac:dyDescent="0.3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35">
      <c r="A49" t="s">
        <v>73</v>
      </c>
      <c r="B49" s="2">
        <f>B7</f>
        <v>17400</v>
      </c>
      <c r="C49" s="2">
        <f t="shared" ref="C49:M49" si="10">C7</f>
        <v>17550</v>
      </c>
      <c r="D49" s="2">
        <f t="shared" si="10"/>
        <v>17650</v>
      </c>
      <c r="E49" s="2">
        <f t="shared" si="10"/>
        <v>17800</v>
      </c>
      <c r="F49" s="2">
        <f t="shared" si="10"/>
        <v>17950</v>
      </c>
      <c r="G49" s="2">
        <f t="shared" si="10"/>
        <v>18100</v>
      </c>
      <c r="H49" s="2">
        <f t="shared" si="10"/>
        <v>18250</v>
      </c>
      <c r="I49" s="2">
        <f t="shared" si="10"/>
        <v>18400</v>
      </c>
      <c r="J49" s="2">
        <f t="shared" si="10"/>
        <v>18550</v>
      </c>
      <c r="K49" s="2">
        <f t="shared" si="10"/>
        <v>18750</v>
      </c>
      <c r="L49" s="2">
        <f t="shared" si="10"/>
        <v>18950</v>
      </c>
      <c r="M49" s="2">
        <f t="shared" si="10"/>
        <v>19150</v>
      </c>
    </row>
    <row r="50" spans="1:13" x14ac:dyDescent="0.3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x14ac:dyDescent="0.35">
      <c r="A51" t="s">
        <v>26</v>
      </c>
      <c r="B51" s="2">
        <f>B49*'Control Panel'!$B$11</f>
        <v>6090</v>
      </c>
      <c r="C51" s="2">
        <f>C49*'Control Panel'!$B$11</f>
        <v>6142.5</v>
      </c>
      <c r="D51" s="2">
        <f>D49*'Control Panel'!$B$11</f>
        <v>6177.5</v>
      </c>
      <c r="E51" s="2">
        <f>E49*'Control Panel'!$B$11</f>
        <v>6230</v>
      </c>
      <c r="F51" s="2">
        <f>F49*'Control Panel'!$B$11</f>
        <v>6282.5</v>
      </c>
      <c r="G51" s="2">
        <f>G49*'Control Panel'!$B$11</f>
        <v>6335</v>
      </c>
      <c r="H51" s="2">
        <f>H49*'Control Panel'!$B$11</f>
        <v>6387.5</v>
      </c>
      <c r="I51" s="2">
        <f>I49*'Control Panel'!$B$11</f>
        <v>6440</v>
      </c>
      <c r="J51" s="2">
        <f>J49*'Control Panel'!$B$11</f>
        <v>6492.5</v>
      </c>
      <c r="K51" s="2">
        <f>K49*'Control Panel'!$B$11</f>
        <v>6562.5</v>
      </c>
      <c r="L51" s="2">
        <f>L49*'Control Panel'!$B$11</f>
        <v>6632.5</v>
      </c>
      <c r="M51" s="2">
        <f>M49*'Control Panel'!$B$11</f>
        <v>6702.5</v>
      </c>
    </row>
    <row r="52" spans="1:13" x14ac:dyDescent="0.3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35">
      <c r="A53" t="s">
        <v>91</v>
      </c>
      <c r="B53" s="2">
        <f>B49-B51</f>
        <v>11310</v>
      </c>
      <c r="C53" s="2">
        <f t="shared" ref="C53:M53" si="11">C49-C51</f>
        <v>11407.5</v>
      </c>
      <c r="D53" s="2">
        <f t="shared" si="11"/>
        <v>11472.5</v>
      </c>
      <c r="E53" s="2">
        <f t="shared" si="11"/>
        <v>11570</v>
      </c>
      <c r="F53" s="2">
        <f t="shared" si="11"/>
        <v>11667.5</v>
      </c>
      <c r="G53" s="2">
        <f t="shared" si="11"/>
        <v>11765</v>
      </c>
      <c r="H53" s="2">
        <f t="shared" si="11"/>
        <v>11862.5</v>
      </c>
      <c r="I53" s="2">
        <f t="shared" si="11"/>
        <v>11960</v>
      </c>
      <c r="J53" s="2">
        <f t="shared" si="11"/>
        <v>12057.5</v>
      </c>
      <c r="K53" s="2">
        <f t="shared" si="11"/>
        <v>12187.5</v>
      </c>
      <c r="L53" s="2">
        <f t="shared" si="11"/>
        <v>12317.5</v>
      </c>
      <c r="M53" s="2">
        <f t="shared" si="11"/>
        <v>12447.5</v>
      </c>
    </row>
    <row r="54" spans="1:13" x14ac:dyDescent="0.3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x14ac:dyDescent="0.35">
      <c r="A55" t="s">
        <v>92</v>
      </c>
      <c r="B55" s="2">
        <f>B38</f>
        <v>5000</v>
      </c>
      <c r="C55" s="2">
        <f t="shared" ref="C55:M55" si="12">C38</f>
        <v>5000</v>
      </c>
      <c r="D55" s="2">
        <f t="shared" si="12"/>
        <v>5000</v>
      </c>
      <c r="E55" s="2">
        <f t="shared" si="12"/>
        <v>5000</v>
      </c>
      <c r="F55" s="2">
        <f t="shared" si="12"/>
        <v>5000</v>
      </c>
      <c r="G55" s="2">
        <f t="shared" si="12"/>
        <v>5000</v>
      </c>
      <c r="H55" s="2">
        <f t="shared" si="12"/>
        <v>5000</v>
      </c>
      <c r="I55" s="2">
        <f t="shared" si="12"/>
        <v>5000</v>
      </c>
      <c r="J55" s="2">
        <f t="shared" si="12"/>
        <v>5000</v>
      </c>
      <c r="K55" s="2">
        <f t="shared" si="12"/>
        <v>5000</v>
      </c>
      <c r="L55" s="2">
        <f t="shared" si="12"/>
        <v>5000</v>
      </c>
      <c r="M55" s="2">
        <f t="shared" si="12"/>
        <v>5000</v>
      </c>
    </row>
    <row r="56" spans="1:13" x14ac:dyDescent="0.3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x14ac:dyDescent="0.35">
      <c r="A57" t="s">
        <v>93</v>
      </c>
      <c r="B57" s="2">
        <f>B53-B55</f>
        <v>6310</v>
      </c>
      <c r="C57" s="2">
        <f t="shared" ref="C57:M57" si="13">C53-C55</f>
        <v>6407.5</v>
      </c>
      <c r="D57" s="2">
        <f t="shared" si="13"/>
        <v>6472.5</v>
      </c>
      <c r="E57" s="2">
        <f t="shared" si="13"/>
        <v>6570</v>
      </c>
      <c r="F57" s="2">
        <f t="shared" si="13"/>
        <v>6667.5</v>
      </c>
      <c r="G57" s="2">
        <f t="shared" si="13"/>
        <v>6765</v>
      </c>
      <c r="H57" s="2">
        <f t="shared" si="13"/>
        <v>6862.5</v>
      </c>
      <c r="I57" s="2">
        <f t="shared" si="13"/>
        <v>6960</v>
      </c>
      <c r="J57" s="2">
        <f t="shared" si="13"/>
        <v>7057.5</v>
      </c>
      <c r="K57" s="2">
        <f t="shared" si="13"/>
        <v>7187.5</v>
      </c>
      <c r="L57" s="2">
        <f t="shared" si="13"/>
        <v>7317.5</v>
      </c>
      <c r="M57" s="2">
        <f t="shared" si="13"/>
        <v>7447.5</v>
      </c>
    </row>
    <row r="59" spans="1:13" x14ac:dyDescent="0.35">
      <c r="A59" t="s">
        <v>94</v>
      </c>
      <c r="B59" s="3">
        <f>B57+'Year 2 Cash Budget'!M59</f>
        <v>36987.5</v>
      </c>
      <c r="C59" s="3">
        <f>B59+C57</f>
        <v>43395</v>
      </c>
      <c r="D59" s="3">
        <f t="shared" ref="D59:M59" si="14">C59+D57</f>
        <v>49867.5</v>
      </c>
      <c r="E59" s="3">
        <f t="shared" si="14"/>
        <v>56437.5</v>
      </c>
      <c r="F59" s="3">
        <f t="shared" si="14"/>
        <v>63105</v>
      </c>
      <c r="G59" s="3">
        <f t="shared" si="14"/>
        <v>69870</v>
      </c>
      <c r="H59" s="3">
        <f t="shared" si="14"/>
        <v>76732.5</v>
      </c>
      <c r="I59" s="3">
        <f t="shared" si="14"/>
        <v>83692.5</v>
      </c>
      <c r="J59" s="3">
        <f t="shared" si="14"/>
        <v>90750</v>
      </c>
      <c r="K59" s="3">
        <f t="shared" si="14"/>
        <v>97937.5</v>
      </c>
      <c r="L59" s="3">
        <f t="shared" si="14"/>
        <v>105255</v>
      </c>
      <c r="M59" s="3">
        <f t="shared" si="14"/>
        <v>112702.5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371A5-09F0-A44C-A925-48B830C486EA}">
  <dimension ref="A1:P59"/>
  <sheetViews>
    <sheetView zoomScaleNormal="100" workbookViewId="0">
      <selection activeCell="B9" sqref="B9"/>
    </sheetView>
  </sheetViews>
  <sheetFormatPr baseColWidth="10" defaultColWidth="11" defaultRowHeight="15.5" x14ac:dyDescent="0.35"/>
  <cols>
    <col min="1" max="1" width="35.83203125" bestFit="1" customWidth="1"/>
    <col min="2" max="13" width="9" bestFit="1" customWidth="1"/>
    <col min="14" max="14" width="10.08203125" bestFit="1" customWidth="1"/>
    <col min="15" max="15" width="8.5" bestFit="1" customWidth="1"/>
    <col min="16" max="16" width="7.58203125" bestFit="1" customWidth="1"/>
  </cols>
  <sheetData>
    <row r="1" spans="1:16" x14ac:dyDescent="0.35">
      <c r="B1" s="12" t="s">
        <v>130</v>
      </c>
      <c r="C1" s="12" t="s">
        <v>131</v>
      </c>
      <c r="D1" s="12" t="s">
        <v>132</v>
      </c>
      <c r="E1" s="12" t="s">
        <v>133</v>
      </c>
      <c r="F1" s="12" t="s">
        <v>134</v>
      </c>
      <c r="G1" s="12" t="s">
        <v>135</v>
      </c>
      <c r="H1" s="12" t="s">
        <v>136</v>
      </c>
      <c r="I1" s="12" t="s">
        <v>137</v>
      </c>
      <c r="J1" s="12" t="s">
        <v>138</v>
      </c>
      <c r="K1" s="12" t="s">
        <v>139</v>
      </c>
      <c r="L1" s="12" t="s">
        <v>140</v>
      </c>
      <c r="M1" s="12" t="s">
        <v>141</v>
      </c>
      <c r="N1" s="12" t="s">
        <v>3</v>
      </c>
    </row>
    <row r="2" spans="1:16" x14ac:dyDescent="0.35">
      <c r="A2" s="9" t="s">
        <v>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6" x14ac:dyDescent="0.35">
      <c r="A3" t="s">
        <v>70</v>
      </c>
      <c r="B3" s="2">
        <f>'Control Panel'!$B$1</f>
        <v>50</v>
      </c>
      <c r="C3" s="2">
        <f t="shared" ref="C3:M3" si="0">B3</f>
        <v>50</v>
      </c>
      <c r="D3" s="2">
        <f t="shared" si="0"/>
        <v>50</v>
      </c>
      <c r="E3" s="2">
        <f t="shared" si="0"/>
        <v>50</v>
      </c>
      <c r="F3" s="2">
        <f t="shared" si="0"/>
        <v>50</v>
      </c>
      <c r="G3" s="2">
        <f t="shared" si="0"/>
        <v>50</v>
      </c>
      <c r="H3" s="2">
        <f t="shared" si="0"/>
        <v>50</v>
      </c>
      <c r="I3" s="2">
        <f t="shared" si="0"/>
        <v>50</v>
      </c>
      <c r="J3" s="2">
        <f t="shared" si="0"/>
        <v>50</v>
      </c>
      <c r="K3" s="2">
        <f t="shared" si="0"/>
        <v>50</v>
      </c>
      <c r="L3" s="2">
        <f t="shared" si="0"/>
        <v>50</v>
      </c>
      <c r="M3" s="2">
        <f t="shared" si="0"/>
        <v>50</v>
      </c>
      <c r="N3" s="2"/>
    </row>
    <row r="4" spans="1:16" x14ac:dyDescent="0.35">
      <c r="A4" t="s">
        <v>10</v>
      </c>
      <c r="B4" s="2">
        <f>ROUND((('Control Panel'!$B$2*(B5+1))*B6),0)</f>
        <v>387</v>
      </c>
      <c r="C4" s="2">
        <f>ROUND((('Control Panel'!$B$2*(C5+1))*C6),0)</f>
        <v>391</v>
      </c>
      <c r="D4" s="2">
        <f>ROUND((('Control Panel'!$B$2*(D5+1))*D6),0)</f>
        <v>396</v>
      </c>
      <c r="E4" s="2">
        <f>ROUND((('Control Panel'!$B$2*(E5+1))*E6),0)</f>
        <v>401</v>
      </c>
      <c r="F4" s="2">
        <f>ROUND((('Control Panel'!$B$2*(F5+1))*F6),0)</f>
        <v>406</v>
      </c>
      <c r="G4" s="2">
        <f>ROUND((('Control Panel'!$B$2*(G5+1))*G6),0)</f>
        <v>411</v>
      </c>
      <c r="H4" s="2">
        <f>ROUND((('Control Panel'!$B$2*(H5+1))*H6),0)</f>
        <v>416</v>
      </c>
      <c r="I4" s="2">
        <f>ROUND((('Control Panel'!$B$2*(I5+1))*I6),0)</f>
        <v>422</v>
      </c>
      <c r="J4" s="2">
        <f>ROUND((('Control Panel'!$B$2*(J5+1))*J6),0)</f>
        <v>428</v>
      </c>
      <c r="K4" s="2">
        <f>ROUND((('Control Panel'!$B$2*(K5+1))*K6),0)</f>
        <v>435</v>
      </c>
      <c r="L4" s="2">
        <f>ROUND((('Control Panel'!$B$2*(L5+1))*L6),0)</f>
        <v>442</v>
      </c>
      <c r="M4" s="2">
        <f>ROUND((('Control Panel'!$B$2*(M5+1))*M6),0)</f>
        <v>449</v>
      </c>
      <c r="N4" s="2">
        <f>SUM(B4:M4)</f>
        <v>4984</v>
      </c>
    </row>
    <row r="5" spans="1:16" x14ac:dyDescent="0.35">
      <c r="A5" t="s">
        <v>71</v>
      </c>
      <c r="B5" s="8">
        <f>'Year 3 Cash Budget'!M5*(1+'Control Panel'!$B$4)</f>
        <v>0.28959080679859356</v>
      </c>
      <c r="C5" s="8">
        <f>B5*(1+'Control Panel'!$B$4)</f>
        <v>0.30407034713852327</v>
      </c>
      <c r="D5" s="8">
        <f>C5*(1+'Control Panel'!$B$4)</f>
        <v>0.31927386449544942</v>
      </c>
      <c r="E5" s="8">
        <f>D5*(1+'Control Panel'!$B$4)</f>
        <v>0.3352375577202219</v>
      </c>
      <c r="F5" s="8">
        <f>E5*(1+'Control Panel'!$B$4)</f>
        <v>0.35199943560623304</v>
      </c>
      <c r="G5" s="8">
        <f>F5*(1+'Control Panel'!$B$4)</f>
        <v>0.36959940738654468</v>
      </c>
      <c r="H5" s="8">
        <f>G5*(1+'Control Panel'!$B$4)</f>
        <v>0.38807937775587192</v>
      </c>
      <c r="I5" s="8">
        <f>H5*(1+'Control Panel'!$B$4)</f>
        <v>0.40748334664366553</v>
      </c>
      <c r="J5" s="8">
        <f>I5*(1+'Control Panel'!$B$4)</f>
        <v>0.42785751397584881</v>
      </c>
      <c r="K5" s="8">
        <f>J5*(1+'Control Panel'!$B$4)</f>
        <v>0.44925038967464126</v>
      </c>
      <c r="L5" s="8">
        <f>K5*(1+'Control Panel'!$B$4)</f>
        <v>0.47171290915837333</v>
      </c>
      <c r="M5" s="8">
        <f>L5*(1+'Control Panel'!$B$4)</f>
        <v>0.49529855461629202</v>
      </c>
      <c r="N5" s="2"/>
    </row>
    <row r="6" spans="1:16" x14ac:dyDescent="0.35">
      <c r="A6" t="s">
        <v>72</v>
      </c>
      <c r="B6" s="7">
        <f>'Year 3 Cash Budget'!B6</f>
        <v>1</v>
      </c>
      <c r="C6" s="7">
        <f>'Year 3 Cash Budget'!C6</f>
        <v>1</v>
      </c>
      <c r="D6" s="7">
        <f>'Year 3 Cash Budget'!D6</f>
        <v>1</v>
      </c>
      <c r="E6" s="7">
        <f>'Year 3 Cash Budget'!E6</f>
        <v>1</v>
      </c>
      <c r="F6" s="7">
        <f>'Year 3 Cash Budget'!F6</f>
        <v>1</v>
      </c>
      <c r="G6" s="7">
        <f>'Year 3 Cash Budget'!G6</f>
        <v>1</v>
      </c>
      <c r="H6" s="7">
        <f>'Year 3 Cash Budget'!H6</f>
        <v>1</v>
      </c>
      <c r="I6" s="7">
        <f>'Year 3 Cash Budget'!I6</f>
        <v>1</v>
      </c>
      <c r="J6" s="7">
        <f>'Year 3 Cash Budget'!J6</f>
        <v>1</v>
      </c>
      <c r="K6" s="7">
        <f>'Year 3 Cash Budget'!K6</f>
        <v>1</v>
      </c>
      <c r="L6" s="7">
        <f>'Year 3 Cash Budget'!L6</f>
        <v>1</v>
      </c>
      <c r="M6" s="7">
        <f>'Year 3 Cash Budget'!M6</f>
        <v>1</v>
      </c>
      <c r="N6" s="2"/>
    </row>
    <row r="7" spans="1:16" x14ac:dyDescent="0.35">
      <c r="A7" t="s">
        <v>73</v>
      </c>
      <c r="B7" s="2">
        <f>B3*B4</f>
        <v>19350</v>
      </c>
      <c r="C7" s="2">
        <f t="shared" ref="C7:M7" si="1">C3*C4</f>
        <v>19550</v>
      </c>
      <c r="D7" s="2">
        <f t="shared" si="1"/>
        <v>19800</v>
      </c>
      <c r="E7" s="2">
        <f t="shared" si="1"/>
        <v>20050</v>
      </c>
      <c r="F7" s="2">
        <f t="shared" si="1"/>
        <v>20300</v>
      </c>
      <c r="G7" s="2">
        <f t="shared" si="1"/>
        <v>20550</v>
      </c>
      <c r="H7" s="2">
        <f t="shared" si="1"/>
        <v>20800</v>
      </c>
      <c r="I7" s="2">
        <f t="shared" si="1"/>
        <v>21100</v>
      </c>
      <c r="J7" s="2">
        <f t="shared" si="1"/>
        <v>21400</v>
      </c>
      <c r="K7" s="2">
        <f t="shared" si="1"/>
        <v>21750</v>
      </c>
      <c r="L7" s="2">
        <f t="shared" si="1"/>
        <v>22100</v>
      </c>
      <c r="M7" s="2">
        <f t="shared" si="1"/>
        <v>22450</v>
      </c>
      <c r="N7" s="2">
        <f>SUM(B7:M7)</f>
        <v>249200</v>
      </c>
      <c r="O7" t="s">
        <v>74</v>
      </c>
      <c r="P7" s="2">
        <f>(M7*'Control Panel'!$B$8)*(1/4)+(M7*'Control Panel'!$B$9)</f>
        <v>5612.5</v>
      </c>
    </row>
    <row r="8" spans="1:16" x14ac:dyDescent="0.3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P8" s="3"/>
    </row>
    <row r="9" spans="1:16" x14ac:dyDescent="0.35">
      <c r="A9" t="s">
        <v>75</v>
      </c>
      <c r="B9" s="2">
        <f>'Financial Statements'!D19</f>
        <v>259024</v>
      </c>
      <c r="C9" s="2">
        <f>B46</f>
        <v>266621.5</v>
      </c>
      <c r="D9" s="2">
        <f t="shared" ref="D9:M9" si="2">C46</f>
        <v>274349</v>
      </c>
      <c r="E9" s="2">
        <f t="shared" si="2"/>
        <v>282244</v>
      </c>
      <c r="F9" s="2">
        <f t="shared" si="2"/>
        <v>290301.5</v>
      </c>
      <c r="G9" s="2">
        <f t="shared" si="2"/>
        <v>298521.5</v>
      </c>
      <c r="H9" s="2">
        <f t="shared" si="2"/>
        <v>306904</v>
      </c>
      <c r="I9" s="2">
        <f t="shared" si="2"/>
        <v>315449</v>
      </c>
      <c r="J9" s="2">
        <f t="shared" si="2"/>
        <v>324194</v>
      </c>
      <c r="K9" s="2">
        <f t="shared" si="2"/>
        <v>333134</v>
      </c>
      <c r="L9" s="2">
        <f t="shared" si="2"/>
        <v>342306.5</v>
      </c>
      <c r="M9" s="2">
        <f t="shared" si="2"/>
        <v>351706.5</v>
      </c>
      <c r="N9" s="2"/>
      <c r="P9" s="13"/>
    </row>
    <row r="10" spans="1:16" x14ac:dyDescent="0.35">
      <c r="A10" t="s">
        <v>76</v>
      </c>
      <c r="B10" s="2">
        <f>B7*'Control Panel'!$B$7</f>
        <v>0</v>
      </c>
      <c r="C10" s="2">
        <f>C7*'Control Panel'!$B$7</f>
        <v>0</v>
      </c>
      <c r="D10" s="2">
        <f>D7*'Control Panel'!$B$7</f>
        <v>0</v>
      </c>
      <c r="E10" s="2">
        <f>E7*'Control Panel'!$B$7</f>
        <v>0</v>
      </c>
      <c r="F10" s="2">
        <f>F7*'Control Panel'!$B$7</f>
        <v>0</v>
      </c>
      <c r="G10" s="2">
        <f>G7*'Control Panel'!$B$7</f>
        <v>0</v>
      </c>
      <c r="H10" s="2">
        <f>H7*'Control Panel'!$B$7</f>
        <v>0</v>
      </c>
      <c r="I10" s="2">
        <f>I7*'Control Panel'!$B$7</f>
        <v>0</v>
      </c>
      <c r="J10" s="2">
        <f>J7*'Control Panel'!$B$7</f>
        <v>0</v>
      </c>
      <c r="K10" s="2">
        <f>K7*'Control Panel'!$B$7</f>
        <v>0</v>
      </c>
      <c r="L10" s="2">
        <f>L7*'Control Panel'!$B$7</f>
        <v>0</v>
      </c>
      <c r="M10" s="2">
        <f>M7*'Control Panel'!$B$7</f>
        <v>0</v>
      </c>
      <c r="N10" s="2">
        <f>SUM(B10:M10)</f>
        <v>0</v>
      </c>
    </row>
    <row r="11" spans="1:16" x14ac:dyDescent="0.35">
      <c r="A11" t="s">
        <v>77</v>
      </c>
      <c r="B11" s="2">
        <f>(B7*'Control Panel'!$B$8)*(3/4)</f>
        <v>14512.5</v>
      </c>
      <c r="C11" s="2">
        <f>(C7*'Control Panel'!$B$8)*(3/4)</f>
        <v>14662.5</v>
      </c>
      <c r="D11" s="2">
        <f>(D7*'Control Panel'!$B$8)*(3/4)</f>
        <v>14850</v>
      </c>
      <c r="E11" s="2">
        <f>(E7*'Control Panel'!$B$8)*(3/4)</f>
        <v>15037.5</v>
      </c>
      <c r="F11" s="2">
        <f>(F7*'Control Panel'!$B$8)*(3/4)</f>
        <v>15225</v>
      </c>
      <c r="G11" s="2">
        <f>(G7*'Control Panel'!$B$8)*(3/4)</f>
        <v>15412.5</v>
      </c>
      <c r="H11" s="2">
        <f>(H7*'Control Panel'!$B$8)*(3/4)</f>
        <v>15600</v>
      </c>
      <c r="I11" s="2">
        <f>(I7*'Control Panel'!$B$8)*(3/4)</f>
        <v>15825</v>
      </c>
      <c r="J11" s="2">
        <f>(J7*'Control Panel'!$B$8)*(3/4)</f>
        <v>16050</v>
      </c>
      <c r="K11" s="2">
        <f>(K7*'Control Panel'!$B$8)*(3/4)</f>
        <v>16312.5</v>
      </c>
      <c r="L11" s="2">
        <f>(L7*'Control Panel'!$B$8)*(3/4)</f>
        <v>16575</v>
      </c>
      <c r="M11" s="2">
        <f>(M7*'Control Panel'!$B$8)*(3/4)</f>
        <v>16837.5</v>
      </c>
      <c r="N11" s="2">
        <f>SUM(B11:M11)</f>
        <v>186900</v>
      </c>
    </row>
    <row r="12" spans="1:16" x14ac:dyDescent="0.35">
      <c r="A12" t="s">
        <v>78</v>
      </c>
      <c r="B12" s="2">
        <f>('Year 3 Cash Budget'!M7*'Control Panel'!$B$8)*(1/4)</f>
        <v>4787.5</v>
      </c>
      <c r="C12" s="2">
        <f>(B7*'Control Panel'!$B$8)*(1/4)</f>
        <v>4837.5</v>
      </c>
      <c r="D12" s="2">
        <f>(C7*'Control Panel'!$B$8)*(1/4)</f>
        <v>4887.5</v>
      </c>
      <c r="E12" s="2">
        <f>(D7*'Control Panel'!$B$8)*(1/4)</f>
        <v>4950</v>
      </c>
      <c r="F12" s="2">
        <f>(E7*'Control Panel'!$B$8)*(1/4)</f>
        <v>5012.5</v>
      </c>
      <c r="G12" s="2">
        <f>(F7*'Control Panel'!$B$8)*(1/4)</f>
        <v>5075</v>
      </c>
      <c r="H12" s="2">
        <f>(G7*'Control Panel'!$B$8)*(1/4)</f>
        <v>5137.5</v>
      </c>
      <c r="I12" s="2">
        <f>(H7*'Control Panel'!$B$8)*(1/4)</f>
        <v>5200</v>
      </c>
      <c r="J12" s="2">
        <f>(I7*'Control Panel'!$B$8)*(1/4)</f>
        <v>5275</v>
      </c>
      <c r="K12" s="2">
        <f>(J7*'Control Panel'!$B$8)*(1/4)</f>
        <v>5350</v>
      </c>
      <c r="L12" s="2">
        <f>(K7*'Control Panel'!$B$8)*(1/4)</f>
        <v>5437.5</v>
      </c>
      <c r="M12" s="2">
        <f>(L7*'Control Panel'!$B$8)*(1/4)</f>
        <v>5525</v>
      </c>
      <c r="N12" s="2">
        <f>SUM(B12:M12)</f>
        <v>61475</v>
      </c>
    </row>
    <row r="13" spans="1:16" x14ac:dyDescent="0.35">
      <c r="A13" t="s">
        <v>79</v>
      </c>
      <c r="B13" s="2">
        <f>('Year 3 Cash Budget'!M7*'Control Panel'!$B$9)</f>
        <v>0</v>
      </c>
      <c r="C13" s="2">
        <f>(B7*'Control Panel'!$B$9)</f>
        <v>0</v>
      </c>
      <c r="D13" s="2">
        <f>(C7*'Control Panel'!$B$9)</f>
        <v>0</v>
      </c>
      <c r="E13" s="2">
        <f>(D7*'Control Panel'!$B$9)</f>
        <v>0</v>
      </c>
      <c r="F13" s="2">
        <f>(E7*'Control Panel'!$B$9)</f>
        <v>0</v>
      </c>
      <c r="G13" s="2">
        <f>(F7*'Control Panel'!$B$9)</f>
        <v>0</v>
      </c>
      <c r="H13" s="2">
        <f>(G7*'Control Panel'!$B$9)</f>
        <v>0</v>
      </c>
      <c r="I13" s="2">
        <f>(H7*'Control Panel'!$B$9)</f>
        <v>0</v>
      </c>
      <c r="J13" s="2">
        <f>(I7*'Control Panel'!$B$9)</f>
        <v>0</v>
      </c>
      <c r="K13" s="2">
        <f>(J7*'Control Panel'!$B$9)</f>
        <v>0</v>
      </c>
      <c r="L13" s="2">
        <f>(K7*'Control Panel'!$B$9)</f>
        <v>0</v>
      </c>
      <c r="M13" s="2">
        <f>(L7*'Control Panel'!$B$9)</f>
        <v>0</v>
      </c>
      <c r="N13" s="2">
        <f>SUM(B13:M13)</f>
        <v>0</v>
      </c>
    </row>
    <row r="14" spans="1:16" x14ac:dyDescent="0.35">
      <c r="A14" t="s">
        <v>80</v>
      </c>
      <c r="B14" s="2">
        <f>SUM(B10:B13)</f>
        <v>19300</v>
      </c>
      <c r="C14" s="2">
        <f t="shared" ref="C14:M14" si="3">SUM(C10:C13)</f>
        <v>19500</v>
      </c>
      <c r="D14" s="2">
        <f t="shared" si="3"/>
        <v>19737.5</v>
      </c>
      <c r="E14" s="2">
        <f t="shared" si="3"/>
        <v>19987.5</v>
      </c>
      <c r="F14" s="2">
        <f t="shared" si="3"/>
        <v>20237.5</v>
      </c>
      <c r="G14" s="2">
        <f t="shared" si="3"/>
        <v>20487.5</v>
      </c>
      <c r="H14" s="2">
        <f t="shared" si="3"/>
        <v>20737.5</v>
      </c>
      <c r="I14" s="2">
        <f t="shared" si="3"/>
        <v>21025</v>
      </c>
      <c r="J14" s="2">
        <f t="shared" si="3"/>
        <v>21325</v>
      </c>
      <c r="K14" s="2">
        <f t="shared" si="3"/>
        <v>21662.5</v>
      </c>
      <c r="L14" s="2">
        <f t="shared" si="3"/>
        <v>22012.5</v>
      </c>
      <c r="M14" s="2">
        <f t="shared" si="3"/>
        <v>22362.5</v>
      </c>
      <c r="N14" s="2">
        <f>SUM(N10:N13)</f>
        <v>248375</v>
      </c>
    </row>
    <row r="15" spans="1:16" x14ac:dyDescent="0.3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6" x14ac:dyDescent="0.35">
      <c r="A16" t="s">
        <v>81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>
        <f>SUM(B16:M16)</f>
        <v>0</v>
      </c>
    </row>
    <row r="17" spans="1:16" x14ac:dyDescent="0.3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6" x14ac:dyDescent="0.35">
      <c r="A18" t="s">
        <v>82</v>
      </c>
      <c r="B18" s="2">
        <f>(B7*'Control Panel'!$B$11)*(1-'Control Panel'!$B$13)</f>
        <v>0</v>
      </c>
      <c r="C18" s="2">
        <f>(C7*'Control Panel'!$B$11)*(1-'Control Panel'!$B$13)</f>
        <v>0</v>
      </c>
      <c r="D18" s="2">
        <f>(D7*'Control Panel'!$B$11)*(1-'Control Panel'!$B$13)</f>
        <v>0</v>
      </c>
      <c r="E18" s="2">
        <f>(E7*'Control Panel'!$B$11)*(1-'Control Panel'!$B$13)</f>
        <v>0</v>
      </c>
      <c r="F18" s="2">
        <f>(F7*'Control Panel'!$B$11)*(1-'Control Panel'!$B$13)</f>
        <v>0</v>
      </c>
      <c r="G18" s="2">
        <f>(G7*'Control Panel'!$B$11)*(1-'Control Panel'!$B$13)</f>
        <v>0</v>
      </c>
      <c r="H18" s="2">
        <f>(H7*'Control Panel'!$B$11)*(1-'Control Panel'!$B$13)</f>
        <v>0</v>
      </c>
      <c r="I18" s="2">
        <f>(I7*'Control Panel'!$B$11)*(1-'Control Panel'!$B$13)</f>
        <v>0</v>
      </c>
      <c r="J18" s="2">
        <f>(J7*'Control Panel'!$B$11)*(1-'Control Panel'!$B$13)</f>
        <v>0</v>
      </c>
      <c r="K18" s="2">
        <f>(K7*'Control Panel'!$B$11)*(1-'Control Panel'!$B$13)</f>
        <v>0</v>
      </c>
      <c r="L18" s="2">
        <f>(L7*'Control Panel'!$B$11)*(1-'Control Panel'!$B$13)</f>
        <v>0</v>
      </c>
      <c r="M18" s="2">
        <f>(M7*'Control Panel'!$B$11)*(1-'Control Panel'!$B$13)</f>
        <v>0</v>
      </c>
      <c r="N18" s="2">
        <f>SUM(B18:M18)</f>
        <v>0</v>
      </c>
    </row>
    <row r="19" spans="1:16" x14ac:dyDescent="0.35">
      <c r="A19" t="s">
        <v>83</v>
      </c>
      <c r="B19" s="2">
        <f>('Year 3 Cash Budget'!M7*'Control Panel'!$B$11)*('Control Panel'!$B$13)</f>
        <v>6702.5</v>
      </c>
      <c r="C19" s="2">
        <f>(B7*'Control Panel'!$B$11)*('Control Panel'!$B$13)</f>
        <v>6772.5</v>
      </c>
      <c r="D19" s="2">
        <f>(C7*'Control Panel'!$B$11)*('Control Panel'!$B$13)</f>
        <v>6842.5</v>
      </c>
      <c r="E19" s="2">
        <f>(D7*'Control Panel'!$B$11)*('Control Panel'!$B$13)</f>
        <v>6930</v>
      </c>
      <c r="F19" s="2">
        <f>(E7*'Control Panel'!$B$11)*('Control Panel'!$B$13)</f>
        <v>7017.5</v>
      </c>
      <c r="G19" s="2">
        <f>(F7*'Control Panel'!$B$11)*('Control Panel'!$B$13)</f>
        <v>7105</v>
      </c>
      <c r="H19" s="2">
        <f>(G7*'Control Panel'!$B$11)*('Control Panel'!$B$13)</f>
        <v>7192.4999999999991</v>
      </c>
      <c r="I19" s="2">
        <f>(H7*'Control Panel'!$B$11)*('Control Panel'!$B$13)</f>
        <v>7279.9999999999991</v>
      </c>
      <c r="J19" s="2">
        <f>(I7*'Control Panel'!$B$11)*('Control Panel'!$B$13)</f>
        <v>7384.9999999999991</v>
      </c>
      <c r="K19" s="2">
        <f>(J7*'Control Panel'!$B$11)*('Control Panel'!$B$13)</f>
        <v>7489.9999999999991</v>
      </c>
      <c r="L19" s="2">
        <f>(K7*'Control Panel'!$B$11)*('Control Panel'!$B$13)</f>
        <v>7612.4999999999991</v>
      </c>
      <c r="M19" s="2">
        <f>(L7*'Control Panel'!$B$11)*('Control Panel'!$B$13)</f>
        <v>7734.9999999999991</v>
      </c>
      <c r="N19" s="2">
        <f>SUM(B19:M19)</f>
        <v>86065</v>
      </c>
    </row>
    <row r="20" spans="1:16" x14ac:dyDescent="0.35">
      <c r="A20" t="s">
        <v>84</v>
      </c>
      <c r="B20" s="2">
        <f>SUM(B18:B19)</f>
        <v>6702.5</v>
      </c>
      <c r="C20" s="2">
        <f t="shared" ref="C20:M20" si="4">SUM(C18:C19)</f>
        <v>6772.5</v>
      </c>
      <c r="D20" s="2">
        <f t="shared" si="4"/>
        <v>6842.5</v>
      </c>
      <c r="E20" s="2">
        <f t="shared" si="4"/>
        <v>6930</v>
      </c>
      <c r="F20" s="2">
        <f t="shared" si="4"/>
        <v>7017.5</v>
      </c>
      <c r="G20" s="2">
        <f t="shared" si="4"/>
        <v>7105</v>
      </c>
      <c r="H20" s="2">
        <f t="shared" si="4"/>
        <v>7192.4999999999991</v>
      </c>
      <c r="I20" s="2">
        <f t="shared" si="4"/>
        <v>7279.9999999999991</v>
      </c>
      <c r="J20" s="2">
        <f t="shared" si="4"/>
        <v>7384.9999999999991</v>
      </c>
      <c r="K20" s="2">
        <f t="shared" si="4"/>
        <v>7489.9999999999991</v>
      </c>
      <c r="L20" s="2">
        <f t="shared" si="4"/>
        <v>7612.4999999999991</v>
      </c>
      <c r="M20" s="2">
        <f t="shared" si="4"/>
        <v>7734.9999999999991</v>
      </c>
      <c r="N20" s="2">
        <f>SUM(N18:N19)</f>
        <v>86065</v>
      </c>
      <c r="O20" t="s">
        <v>85</v>
      </c>
      <c r="P20" s="3">
        <f>(M7*'Control Panel'!$B$11)*('Control Panel'!$B$13)</f>
        <v>7857.4999999999991</v>
      </c>
    </row>
    <row r="21" spans="1:16" x14ac:dyDescent="0.3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6" x14ac:dyDescent="0.35">
      <c r="A22" t="s">
        <v>32</v>
      </c>
      <c r="B22" s="2">
        <f>'Year 3 Cash Budget'!B22</f>
        <v>0</v>
      </c>
      <c r="C22" s="2">
        <f>'Year 3 Cash Budget'!C22</f>
        <v>0</v>
      </c>
      <c r="D22" s="2">
        <f>'Year 3 Cash Budget'!D22</f>
        <v>0</v>
      </c>
      <c r="E22" s="2">
        <f>'Year 3 Cash Budget'!E22</f>
        <v>0</v>
      </c>
      <c r="F22" s="2">
        <f>'Year 3 Cash Budget'!F22</f>
        <v>0</v>
      </c>
      <c r="G22" s="2">
        <f>'Year 3 Cash Budget'!G22</f>
        <v>0</v>
      </c>
      <c r="H22" s="2">
        <f>'Year 3 Cash Budget'!H22</f>
        <v>0</v>
      </c>
      <c r="I22" s="2">
        <f>'Year 3 Cash Budget'!I22</f>
        <v>0</v>
      </c>
      <c r="J22" s="2">
        <f>'Year 3 Cash Budget'!J22</f>
        <v>0</v>
      </c>
      <c r="K22" s="2">
        <f>'Year 3 Cash Budget'!K22</f>
        <v>0</v>
      </c>
      <c r="L22" s="2">
        <f>'Year 3 Cash Budget'!L22</f>
        <v>0</v>
      </c>
      <c r="M22" s="2">
        <f>'Year 3 Cash Budget'!M22</f>
        <v>0</v>
      </c>
      <c r="N22" s="2">
        <f t="shared" ref="N22:N37" si="5">SUM(B22:M22)</f>
        <v>0</v>
      </c>
    </row>
    <row r="23" spans="1:16" x14ac:dyDescent="0.35">
      <c r="A23" t="s">
        <v>33</v>
      </c>
      <c r="B23" s="2">
        <f>'Year 3 Cash Budget'!B23</f>
        <v>0</v>
      </c>
      <c r="C23" s="2">
        <f>'Year 3 Cash Budget'!C23</f>
        <v>0</v>
      </c>
      <c r="D23" s="2">
        <f>'Year 3 Cash Budget'!D23</f>
        <v>0</v>
      </c>
      <c r="E23" s="2">
        <f>'Year 3 Cash Budget'!E23</f>
        <v>0</v>
      </c>
      <c r="F23" s="2">
        <f>'Year 3 Cash Budget'!F23</f>
        <v>0</v>
      </c>
      <c r="G23" s="2">
        <f>'Year 3 Cash Budget'!G23</f>
        <v>0</v>
      </c>
      <c r="H23" s="2">
        <f>'Year 3 Cash Budget'!H23</f>
        <v>0</v>
      </c>
      <c r="I23" s="2">
        <f>'Year 3 Cash Budget'!I23</f>
        <v>0</v>
      </c>
      <c r="J23" s="2">
        <f>'Year 3 Cash Budget'!J23</f>
        <v>0</v>
      </c>
      <c r="K23" s="2">
        <f>'Year 3 Cash Budget'!K23</f>
        <v>0</v>
      </c>
      <c r="L23" s="2">
        <f>'Year 3 Cash Budget'!L23</f>
        <v>0</v>
      </c>
      <c r="M23" s="2">
        <f>'Year 3 Cash Budget'!M23</f>
        <v>0</v>
      </c>
      <c r="N23" s="2">
        <f t="shared" si="5"/>
        <v>0</v>
      </c>
    </row>
    <row r="24" spans="1:16" x14ac:dyDescent="0.35">
      <c r="A24" t="s">
        <v>34</v>
      </c>
      <c r="B24" s="2">
        <f>'Year 3 Cash Budget'!B24</f>
        <v>0</v>
      </c>
      <c r="C24" s="2">
        <f>'Year 3 Cash Budget'!C24</f>
        <v>0</v>
      </c>
      <c r="D24" s="2">
        <f>'Year 3 Cash Budget'!D24</f>
        <v>0</v>
      </c>
      <c r="E24" s="2">
        <f>'Year 3 Cash Budget'!E24</f>
        <v>0</v>
      </c>
      <c r="F24" s="2">
        <f>'Year 3 Cash Budget'!F24</f>
        <v>0</v>
      </c>
      <c r="G24" s="2">
        <f>'Year 3 Cash Budget'!G24</f>
        <v>0</v>
      </c>
      <c r="H24" s="2">
        <f>'Year 3 Cash Budget'!H24</f>
        <v>0</v>
      </c>
      <c r="I24" s="2">
        <f>'Year 3 Cash Budget'!I24</f>
        <v>0</v>
      </c>
      <c r="J24" s="2">
        <f>'Year 3 Cash Budget'!J24</f>
        <v>0</v>
      </c>
      <c r="K24" s="2">
        <f>'Year 3 Cash Budget'!K24</f>
        <v>0</v>
      </c>
      <c r="L24" s="2">
        <f>'Year 3 Cash Budget'!L24</f>
        <v>0</v>
      </c>
      <c r="M24" s="2">
        <f>'Year 3 Cash Budget'!M24</f>
        <v>0</v>
      </c>
      <c r="N24" s="2">
        <f t="shared" si="5"/>
        <v>0</v>
      </c>
    </row>
    <row r="25" spans="1:16" x14ac:dyDescent="0.35">
      <c r="A25" t="s">
        <v>35</v>
      </c>
      <c r="B25" s="2">
        <f>'Year 3 Cash Budget'!B25</f>
        <v>0</v>
      </c>
      <c r="C25" s="2">
        <f>'Year 3 Cash Budget'!C25</f>
        <v>0</v>
      </c>
      <c r="D25" s="2">
        <f>'Year 3 Cash Budget'!D25</f>
        <v>0</v>
      </c>
      <c r="E25" s="2">
        <f>'Year 3 Cash Budget'!E25</f>
        <v>0</v>
      </c>
      <c r="F25" s="2">
        <f>'Year 3 Cash Budget'!F25</f>
        <v>0</v>
      </c>
      <c r="G25" s="2">
        <f>'Year 3 Cash Budget'!G25</f>
        <v>0</v>
      </c>
      <c r="H25" s="2">
        <f>'Year 3 Cash Budget'!H25</f>
        <v>0</v>
      </c>
      <c r="I25" s="2">
        <f>'Year 3 Cash Budget'!I25</f>
        <v>0</v>
      </c>
      <c r="J25" s="2">
        <f>'Year 3 Cash Budget'!J25</f>
        <v>0</v>
      </c>
      <c r="K25" s="2">
        <f>'Year 3 Cash Budget'!K25</f>
        <v>0</v>
      </c>
      <c r="L25" s="2">
        <f>'Year 3 Cash Budget'!L25</f>
        <v>0</v>
      </c>
      <c r="M25" s="2">
        <f>'Year 3 Cash Budget'!M25</f>
        <v>0</v>
      </c>
      <c r="N25" s="2">
        <f t="shared" si="5"/>
        <v>0</v>
      </c>
    </row>
    <row r="26" spans="1:16" x14ac:dyDescent="0.35">
      <c r="A26" t="s">
        <v>36</v>
      </c>
      <c r="B26" s="2">
        <f>'Year 3 Cash Budget'!B26</f>
        <v>0</v>
      </c>
      <c r="C26" s="2">
        <f>'Year 3 Cash Budget'!C26</f>
        <v>0</v>
      </c>
      <c r="D26" s="2">
        <f>'Year 3 Cash Budget'!D26</f>
        <v>0</v>
      </c>
      <c r="E26" s="2">
        <f>'Year 3 Cash Budget'!E26</f>
        <v>0</v>
      </c>
      <c r="F26" s="2">
        <f>'Year 3 Cash Budget'!F26</f>
        <v>0</v>
      </c>
      <c r="G26" s="2">
        <f>'Year 3 Cash Budget'!G26</f>
        <v>0</v>
      </c>
      <c r="H26" s="2">
        <f>'Year 3 Cash Budget'!H26</f>
        <v>0</v>
      </c>
      <c r="I26" s="2">
        <f>'Year 3 Cash Budget'!I26</f>
        <v>0</v>
      </c>
      <c r="J26" s="2">
        <f>'Year 3 Cash Budget'!J26</f>
        <v>0</v>
      </c>
      <c r="K26" s="2">
        <f>'Year 3 Cash Budget'!K26</f>
        <v>0</v>
      </c>
      <c r="L26" s="2">
        <f>'Year 3 Cash Budget'!L26</f>
        <v>0</v>
      </c>
      <c r="M26" s="2">
        <f>'Year 3 Cash Budget'!M26</f>
        <v>0</v>
      </c>
      <c r="N26" s="2">
        <f t="shared" si="5"/>
        <v>0</v>
      </c>
    </row>
    <row r="27" spans="1:16" x14ac:dyDescent="0.35">
      <c r="A27" t="s">
        <v>37</v>
      </c>
      <c r="B27" s="2">
        <f>'Year 3 Cash Budget'!B27</f>
        <v>0</v>
      </c>
      <c r="C27" s="2">
        <f>'Year 3 Cash Budget'!C27</f>
        <v>0</v>
      </c>
      <c r="D27" s="2">
        <f>'Year 3 Cash Budget'!D27</f>
        <v>0</v>
      </c>
      <c r="E27" s="2">
        <f>'Year 3 Cash Budget'!E27</f>
        <v>0</v>
      </c>
      <c r="F27" s="2">
        <f>'Year 3 Cash Budget'!F27</f>
        <v>0</v>
      </c>
      <c r="G27" s="2">
        <f>'Year 3 Cash Budget'!G27</f>
        <v>0</v>
      </c>
      <c r="H27" s="2">
        <f>'Year 3 Cash Budget'!H27</f>
        <v>0</v>
      </c>
      <c r="I27" s="2">
        <f>'Year 3 Cash Budget'!I27</f>
        <v>0</v>
      </c>
      <c r="J27" s="2">
        <f>'Year 3 Cash Budget'!J27</f>
        <v>0</v>
      </c>
      <c r="K27" s="2">
        <f>'Year 3 Cash Budget'!K27</f>
        <v>0</v>
      </c>
      <c r="L27" s="2">
        <f>'Year 3 Cash Budget'!L27</f>
        <v>0</v>
      </c>
      <c r="M27" s="2">
        <f>'Year 3 Cash Budget'!M27</f>
        <v>0</v>
      </c>
      <c r="N27" s="2">
        <f t="shared" si="5"/>
        <v>0</v>
      </c>
    </row>
    <row r="28" spans="1:16" x14ac:dyDescent="0.35">
      <c r="A28" t="s">
        <v>38</v>
      </c>
      <c r="B28" s="2">
        <f>'Year 3 Cash Budget'!B28</f>
        <v>0</v>
      </c>
      <c r="C28" s="2">
        <f>'Year 3 Cash Budget'!C28</f>
        <v>0</v>
      </c>
      <c r="D28" s="2">
        <f>'Year 3 Cash Budget'!D28</f>
        <v>0</v>
      </c>
      <c r="E28" s="2">
        <f>'Year 3 Cash Budget'!E28</f>
        <v>0</v>
      </c>
      <c r="F28" s="2">
        <f>'Year 3 Cash Budget'!F28</f>
        <v>0</v>
      </c>
      <c r="G28" s="2">
        <f>'Year 3 Cash Budget'!G28</f>
        <v>0</v>
      </c>
      <c r="H28" s="2">
        <f>'Year 3 Cash Budget'!H28</f>
        <v>0</v>
      </c>
      <c r="I28" s="2">
        <f>'Year 3 Cash Budget'!I28</f>
        <v>0</v>
      </c>
      <c r="J28" s="2">
        <f>'Year 3 Cash Budget'!J28</f>
        <v>0</v>
      </c>
      <c r="K28" s="2">
        <f>'Year 3 Cash Budget'!K28</f>
        <v>0</v>
      </c>
      <c r="L28" s="2">
        <f>'Year 3 Cash Budget'!L28</f>
        <v>0</v>
      </c>
      <c r="M28" s="2">
        <f>'Year 3 Cash Budget'!M28</f>
        <v>0</v>
      </c>
      <c r="N28" s="2">
        <f t="shared" si="5"/>
        <v>0</v>
      </c>
    </row>
    <row r="29" spans="1:16" x14ac:dyDescent="0.35">
      <c r="A29" t="s">
        <v>39</v>
      </c>
      <c r="B29" s="2">
        <f>'Year 3 Cash Budget'!B29</f>
        <v>0</v>
      </c>
      <c r="C29" s="2">
        <f>'Year 3 Cash Budget'!C29</f>
        <v>0</v>
      </c>
      <c r="D29" s="2">
        <f>'Year 3 Cash Budget'!D29</f>
        <v>0</v>
      </c>
      <c r="E29" s="2">
        <f>'Year 3 Cash Budget'!E29</f>
        <v>0</v>
      </c>
      <c r="F29" s="2">
        <f>'Year 3 Cash Budget'!F29</f>
        <v>0</v>
      </c>
      <c r="G29" s="2">
        <f>'Year 3 Cash Budget'!G29</f>
        <v>0</v>
      </c>
      <c r="H29" s="2">
        <f>'Year 3 Cash Budget'!H29</f>
        <v>0</v>
      </c>
      <c r="I29" s="2">
        <f>'Year 3 Cash Budget'!I29</f>
        <v>0</v>
      </c>
      <c r="J29" s="2">
        <f>'Year 3 Cash Budget'!J29</f>
        <v>0</v>
      </c>
      <c r="K29" s="2">
        <f>'Year 3 Cash Budget'!K29</f>
        <v>0</v>
      </c>
      <c r="L29" s="2">
        <f>'Year 3 Cash Budget'!L29</f>
        <v>0</v>
      </c>
      <c r="M29" s="2">
        <f>'Year 3 Cash Budget'!M29</f>
        <v>0</v>
      </c>
      <c r="N29" s="2">
        <f t="shared" si="5"/>
        <v>0</v>
      </c>
    </row>
    <row r="30" spans="1:16" x14ac:dyDescent="0.35">
      <c r="A30" t="s">
        <v>41</v>
      </c>
      <c r="B30" s="2">
        <f>'Year 3 Cash Budget'!B30</f>
        <v>0</v>
      </c>
      <c r="C30" s="2">
        <f>'Year 3 Cash Budget'!C30</f>
        <v>0</v>
      </c>
      <c r="D30" s="2">
        <f>'Year 3 Cash Budget'!D30</f>
        <v>0</v>
      </c>
      <c r="E30" s="2">
        <f>'Year 3 Cash Budget'!E30</f>
        <v>0</v>
      </c>
      <c r="F30" s="2">
        <f>'Year 3 Cash Budget'!F30</f>
        <v>0</v>
      </c>
      <c r="G30" s="2">
        <f>'Year 3 Cash Budget'!G30</f>
        <v>0</v>
      </c>
      <c r="H30" s="2">
        <f>'Year 3 Cash Budget'!H30</f>
        <v>0</v>
      </c>
      <c r="I30" s="2">
        <f>'Year 3 Cash Budget'!I30</f>
        <v>0</v>
      </c>
      <c r="J30" s="2">
        <f>'Year 3 Cash Budget'!J30</f>
        <v>0</v>
      </c>
      <c r="K30" s="2">
        <f>'Year 3 Cash Budget'!K30</f>
        <v>0</v>
      </c>
      <c r="L30" s="2">
        <f>'Year 3 Cash Budget'!L30</f>
        <v>0</v>
      </c>
      <c r="M30" s="2">
        <f>'Year 3 Cash Budget'!M30</f>
        <v>0</v>
      </c>
      <c r="N30" s="2">
        <f t="shared" si="5"/>
        <v>0</v>
      </c>
    </row>
    <row r="31" spans="1:16" x14ac:dyDescent="0.35">
      <c r="A31" t="s">
        <v>86</v>
      </c>
      <c r="B31" s="2">
        <f>'Year 3 Cash Budget'!B31</f>
        <v>0</v>
      </c>
      <c r="C31" s="2">
        <f>'Year 3 Cash Budget'!C31</f>
        <v>0</v>
      </c>
      <c r="D31" s="2">
        <f>'Year 3 Cash Budget'!D31</f>
        <v>0</v>
      </c>
      <c r="E31" s="2">
        <f>'Year 3 Cash Budget'!E31</f>
        <v>0</v>
      </c>
      <c r="F31" s="2">
        <f>'Year 3 Cash Budget'!F31</f>
        <v>0</v>
      </c>
      <c r="G31" s="2">
        <f>'Year 3 Cash Budget'!G31</f>
        <v>0</v>
      </c>
      <c r="H31" s="2">
        <f>'Year 3 Cash Budget'!H31</f>
        <v>0</v>
      </c>
      <c r="I31" s="2">
        <f>'Year 3 Cash Budget'!I31</f>
        <v>0</v>
      </c>
      <c r="J31" s="2">
        <f>'Year 3 Cash Budget'!J31</f>
        <v>0</v>
      </c>
      <c r="K31" s="2">
        <f>'Year 3 Cash Budget'!K31</f>
        <v>0</v>
      </c>
      <c r="L31" s="2">
        <f>'Year 3 Cash Budget'!L31</f>
        <v>0</v>
      </c>
      <c r="M31" s="2">
        <f>'Year 3 Cash Budget'!M31</f>
        <v>0</v>
      </c>
      <c r="N31" s="2">
        <f t="shared" si="5"/>
        <v>0</v>
      </c>
    </row>
    <row r="32" spans="1:16" x14ac:dyDescent="0.35">
      <c r="A32" t="s">
        <v>45</v>
      </c>
      <c r="B32" s="2">
        <f>'Year 3 Cash Budget'!B32</f>
        <v>0</v>
      </c>
      <c r="C32" s="2">
        <f>'Year 3 Cash Budget'!C32</f>
        <v>0</v>
      </c>
      <c r="D32" s="2">
        <f>'Year 3 Cash Budget'!D32</f>
        <v>0</v>
      </c>
      <c r="E32" s="2">
        <f>'Year 3 Cash Budget'!E32</f>
        <v>0</v>
      </c>
      <c r="F32" s="2">
        <f>'Year 3 Cash Budget'!F32</f>
        <v>0</v>
      </c>
      <c r="G32" s="2">
        <f>'Year 3 Cash Budget'!G32</f>
        <v>0</v>
      </c>
      <c r="H32" s="2">
        <f>'Year 3 Cash Budget'!H32</f>
        <v>0</v>
      </c>
      <c r="I32" s="2">
        <f>'Year 3 Cash Budget'!I32</f>
        <v>0</v>
      </c>
      <c r="J32" s="2">
        <f>'Year 3 Cash Budget'!J32</f>
        <v>0</v>
      </c>
      <c r="K32" s="2">
        <f>'Year 3 Cash Budget'!K32</f>
        <v>0</v>
      </c>
      <c r="L32" s="2">
        <f>'Year 3 Cash Budget'!L32</f>
        <v>0</v>
      </c>
      <c r="M32" s="2">
        <f>'Year 3 Cash Budget'!M32</f>
        <v>0</v>
      </c>
      <c r="N32" s="2">
        <f t="shared" si="5"/>
        <v>0</v>
      </c>
    </row>
    <row r="33" spans="1:14" x14ac:dyDescent="0.35">
      <c r="A33" t="s">
        <v>46</v>
      </c>
      <c r="B33" s="2">
        <f>'Year 3 Cash Budget'!B33</f>
        <v>0</v>
      </c>
      <c r="C33" s="2">
        <f>'Year 3 Cash Budget'!C33</f>
        <v>0</v>
      </c>
      <c r="D33" s="2">
        <f>'Year 3 Cash Budget'!D33</f>
        <v>0</v>
      </c>
      <c r="E33" s="2">
        <f>'Year 3 Cash Budget'!E33</f>
        <v>0</v>
      </c>
      <c r="F33" s="2">
        <f>'Year 3 Cash Budget'!F33</f>
        <v>0</v>
      </c>
      <c r="G33" s="2">
        <f>'Year 3 Cash Budget'!G33</f>
        <v>0</v>
      </c>
      <c r="H33" s="2">
        <f>'Year 3 Cash Budget'!H33</f>
        <v>0</v>
      </c>
      <c r="I33" s="2">
        <f>'Year 3 Cash Budget'!I33</f>
        <v>0</v>
      </c>
      <c r="J33" s="2">
        <f>'Year 3 Cash Budget'!J33</f>
        <v>0</v>
      </c>
      <c r="K33" s="2">
        <f>'Year 3 Cash Budget'!K33</f>
        <v>0</v>
      </c>
      <c r="L33" s="2">
        <f>'Year 3 Cash Budget'!L33</f>
        <v>0</v>
      </c>
      <c r="M33" s="2">
        <f>'Year 3 Cash Budget'!M33</f>
        <v>0</v>
      </c>
      <c r="N33" s="2">
        <f t="shared" si="5"/>
        <v>0</v>
      </c>
    </row>
    <row r="34" spans="1:14" x14ac:dyDescent="0.35">
      <c r="A34" t="s">
        <v>47</v>
      </c>
      <c r="B34" s="2">
        <f>'Year 3 Cash Budget'!B34</f>
        <v>0</v>
      </c>
      <c r="C34" s="2">
        <f>'Year 3 Cash Budget'!C34</f>
        <v>0</v>
      </c>
      <c r="D34" s="2">
        <f>'Year 3 Cash Budget'!D34</f>
        <v>0</v>
      </c>
      <c r="E34" s="2">
        <f>'Year 3 Cash Budget'!E34</f>
        <v>0</v>
      </c>
      <c r="F34" s="2">
        <f>'Year 3 Cash Budget'!F34</f>
        <v>0</v>
      </c>
      <c r="G34" s="2">
        <f>'Year 3 Cash Budget'!G34</f>
        <v>0</v>
      </c>
      <c r="H34" s="2">
        <f>'Year 3 Cash Budget'!H34</f>
        <v>0</v>
      </c>
      <c r="I34" s="2">
        <f>'Year 3 Cash Budget'!I34</f>
        <v>0</v>
      </c>
      <c r="J34" s="2">
        <f>'Year 3 Cash Budget'!J34</f>
        <v>0</v>
      </c>
      <c r="K34" s="2">
        <f>'Year 3 Cash Budget'!K34</f>
        <v>0</v>
      </c>
      <c r="L34" s="2">
        <f>'Year 3 Cash Budget'!L34</f>
        <v>0</v>
      </c>
      <c r="M34" s="2">
        <f>'Year 3 Cash Budget'!M34</f>
        <v>0</v>
      </c>
      <c r="N34" s="2">
        <f t="shared" si="5"/>
        <v>0</v>
      </c>
    </row>
    <row r="35" spans="1:14" x14ac:dyDescent="0.35">
      <c r="A35" t="s">
        <v>48</v>
      </c>
      <c r="B35" s="2">
        <f>'Year 3 Cash Budget'!B35</f>
        <v>0</v>
      </c>
      <c r="C35" s="2">
        <f>'Year 3 Cash Budget'!C35</f>
        <v>0</v>
      </c>
      <c r="D35" s="2">
        <f>'Year 3 Cash Budget'!D35</f>
        <v>0</v>
      </c>
      <c r="E35" s="2">
        <f>'Year 3 Cash Budget'!E35</f>
        <v>0</v>
      </c>
      <c r="F35" s="2">
        <f>'Year 3 Cash Budget'!F35</f>
        <v>0</v>
      </c>
      <c r="G35" s="2">
        <f>'Year 3 Cash Budget'!G35</f>
        <v>0</v>
      </c>
      <c r="H35" s="2">
        <f>'Year 3 Cash Budget'!H35</f>
        <v>0</v>
      </c>
      <c r="I35" s="2">
        <f>'Year 3 Cash Budget'!I35</f>
        <v>0</v>
      </c>
      <c r="J35" s="2">
        <f>'Year 3 Cash Budget'!J35</f>
        <v>0</v>
      </c>
      <c r="K35" s="2">
        <f>'Year 3 Cash Budget'!K35</f>
        <v>0</v>
      </c>
      <c r="L35" s="2">
        <f>'Year 3 Cash Budget'!L35</f>
        <v>0</v>
      </c>
      <c r="M35" s="2">
        <f>'Year 3 Cash Budget'!M35</f>
        <v>0</v>
      </c>
      <c r="N35" s="2">
        <f t="shared" si="5"/>
        <v>0</v>
      </c>
    </row>
    <row r="36" spans="1:14" x14ac:dyDescent="0.35">
      <c r="A36" t="s">
        <v>87</v>
      </c>
      <c r="B36" s="2">
        <f>'Year 3 Cash Budget'!B36</f>
        <v>0</v>
      </c>
      <c r="C36" s="2">
        <f>'Year 3 Cash Budget'!C36</f>
        <v>0</v>
      </c>
      <c r="D36" s="2">
        <f>'Year 3 Cash Budget'!D36</f>
        <v>0</v>
      </c>
      <c r="E36" s="2">
        <f>'Year 3 Cash Budget'!E36</f>
        <v>0</v>
      </c>
      <c r="F36" s="2">
        <f>'Year 3 Cash Budget'!F36</f>
        <v>0</v>
      </c>
      <c r="G36" s="2">
        <f>'Year 3 Cash Budget'!G36</f>
        <v>0</v>
      </c>
      <c r="H36" s="2">
        <f>'Year 3 Cash Budget'!H36</f>
        <v>0</v>
      </c>
      <c r="I36" s="2">
        <f>'Year 3 Cash Budget'!I36</f>
        <v>0</v>
      </c>
      <c r="J36" s="2">
        <f>'Year 3 Cash Budget'!J36</f>
        <v>0</v>
      </c>
      <c r="K36" s="2">
        <f>'Year 3 Cash Budget'!K36</f>
        <v>0</v>
      </c>
      <c r="L36" s="2">
        <f>'Year 3 Cash Budget'!L36</f>
        <v>0</v>
      </c>
      <c r="M36" s="2">
        <f>'Year 3 Cash Budget'!M36</f>
        <v>0</v>
      </c>
      <c r="N36" s="2">
        <f t="shared" si="5"/>
        <v>0</v>
      </c>
    </row>
    <row r="37" spans="1:14" x14ac:dyDescent="0.35">
      <c r="A37" t="s">
        <v>51</v>
      </c>
      <c r="B37" s="2">
        <f>'Year 3 Cash Budget'!B37</f>
        <v>5000</v>
      </c>
      <c r="C37" s="2">
        <f>'Year 3 Cash Budget'!C37</f>
        <v>5000</v>
      </c>
      <c r="D37" s="2">
        <f>'Year 3 Cash Budget'!D37</f>
        <v>5000</v>
      </c>
      <c r="E37" s="2">
        <f>'Year 3 Cash Budget'!E37</f>
        <v>5000</v>
      </c>
      <c r="F37" s="2">
        <f>'Year 3 Cash Budget'!F37</f>
        <v>5000</v>
      </c>
      <c r="G37" s="2">
        <f>'Year 3 Cash Budget'!G37</f>
        <v>5000</v>
      </c>
      <c r="H37" s="2">
        <f>'Year 3 Cash Budget'!H37</f>
        <v>5000</v>
      </c>
      <c r="I37" s="2">
        <f>'Year 3 Cash Budget'!I37</f>
        <v>5000</v>
      </c>
      <c r="J37" s="2">
        <f>'Year 3 Cash Budget'!J37</f>
        <v>5000</v>
      </c>
      <c r="K37" s="2">
        <f>'Year 3 Cash Budget'!K37</f>
        <v>5000</v>
      </c>
      <c r="L37" s="2">
        <f>'Year 3 Cash Budget'!L37</f>
        <v>5000</v>
      </c>
      <c r="M37" s="2">
        <f>'Year 3 Cash Budget'!M37</f>
        <v>5000</v>
      </c>
      <c r="N37" s="2">
        <f t="shared" si="5"/>
        <v>60000</v>
      </c>
    </row>
    <row r="38" spans="1:14" x14ac:dyDescent="0.35">
      <c r="A38" t="s">
        <v>88</v>
      </c>
      <c r="B38" s="2">
        <f t="shared" ref="B38:I38" si="6">SUM(B22:B37)</f>
        <v>5000</v>
      </c>
      <c r="C38" s="2">
        <f t="shared" si="6"/>
        <v>5000</v>
      </c>
      <c r="D38" s="2">
        <f t="shared" si="6"/>
        <v>5000</v>
      </c>
      <c r="E38" s="2">
        <f t="shared" si="6"/>
        <v>5000</v>
      </c>
      <c r="F38" s="2">
        <f t="shared" si="6"/>
        <v>5000</v>
      </c>
      <c r="G38" s="2">
        <f t="shared" si="6"/>
        <v>5000</v>
      </c>
      <c r="H38" s="2">
        <f t="shared" si="6"/>
        <v>5000</v>
      </c>
      <c r="I38" s="2">
        <f t="shared" si="6"/>
        <v>5000</v>
      </c>
      <c r="J38" s="2">
        <f>SUM(J22:J37)</f>
        <v>5000</v>
      </c>
      <c r="K38" s="2">
        <f t="shared" ref="K38:N38" si="7">SUM(K22:K37)</f>
        <v>5000</v>
      </c>
      <c r="L38" s="2">
        <f t="shared" si="7"/>
        <v>5000</v>
      </c>
      <c r="M38" s="2">
        <f t="shared" si="7"/>
        <v>5000</v>
      </c>
      <c r="N38" s="2">
        <f t="shared" si="7"/>
        <v>60000</v>
      </c>
    </row>
    <row r="39" spans="1:14" x14ac:dyDescent="0.3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35">
      <c r="A40" t="s">
        <v>40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>
        <f>SUM(B40:M40)</f>
        <v>0</v>
      </c>
    </row>
    <row r="41" spans="1:14" x14ac:dyDescent="0.35">
      <c r="A41" t="s">
        <v>86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>
        <f>SUM(B41:M41)</f>
        <v>0</v>
      </c>
    </row>
    <row r="42" spans="1:14" x14ac:dyDescent="0.35">
      <c r="A42" t="s">
        <v>44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>
        <f>SUM(B42:M42)</f>
        <v>0</v>
      </c>
    </row>
    <row r="43" spans="1:14" x14ac:dyDescent="0.35">
      <c r="A43" t="s">
        <v>49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>
        <f>SUM(B43:M43)</f>
        <v>0</v>
      </c>
    </row>
    <row r="44" spans="1:14" x14ac:dyDescent="0.35">
      <c r="A44" t="s">
        <v>89</v>
      </c>
      <c r="B44" s="2">
        <f t="shared" ref="B44:N44" si="8">SUM(B40:B43)</f>
        <v>0</v>
      </c>
      <c r="C44" s="2">
        <f t="shared" si="8"/>
        <v>0</v>
      </c>
      <c r="D44" s="2">
        <f t="shared" si="8"/>
        <v>0</v>
      </c>
      <c r="E44" s="2">
        <f t="shared" si="8"/>
        <v>0</v>
      </c>
      <c r="F44" s="2">
        <f t="shared" si="8"/>
        <v>0</v>
      </c>
      <c r="G44" s="2">
        <f t="shared" si="8"/>
        <v>0</v>
      </c>
      <c r="H44" s="2">
        <f t="shared" si="8"/>
        <v>0</v>
      </c>
      <c r="I44" s="2">
        <f t="shared" si="8"/>
        <v>0</v>
      </c>
      <c r="J44" s="2">
        <f t="shared" si="8"/>
        <v>0</v>
      </c>
      <c r="K44" s="2">
        <f t="shared" si="8"/>
        <v>0</v>
      </c>
      <c r="L44" s="2">
        <f t="shared" si="8"/>
        <v>0</v>
      </c>
      <c r="M44" s="2">
        <f t="shared" si="8"/>
        <v>0</v>
      </c>
      <c r="N44" s="2">
        <f t="shared" si="8"/>
        <v>0</v>
      </c>
    </row>
    <row r="45" spans="1:14" x14ac:dyDescent="0.3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35">
      <c r="A46" t="s">
        <v>90</v>
      </c>
      <c r="B46" s="2">
        <f t="shared" ref="B46:M46" si="9">B9+B14-B20-B38-B44+B16</f>
        <v>266621.5</v>
      </c>
      <c r="C46" s="2">
        <f t="shared" si="9"/>
        <v>274349</v>
      </c>
      <c r="D46" s="2">
        <f t="shared" si="9"/>
        <v>282244</v>
      </c>
      <c r="E46" s="2">
        <f t="shared" si="9"/>
        <v>290301.5</v>
      </c>
      <c r="F46" s="2">
        <f t="shared" si="9"/>
        <v>298521.5</v>
      </c>
      <c r="G46" s="2">
        <f t="shared" si="9"/>
        <v>306904</v>
      </c>
      <c r="H46" s="2">
        <f t="shared" si="9"/>
        <v>315449</v>
      </c>
      <c r="I46" s="2">
        <f t="shared" si="9"/>
        <v>324194</v>
      </c>
      <c r="J46" s="2">
        <f t="shared" si="9"/>
        <v>333134</v>
      </c>
      <c r="K46" s="2">
        <f t="shared" si="9"/>
        <v>342306.5</v>
      </c>
      <c r="L46" s="2">
        <f t="shared" si="9"/>
        <v>351706.5</v>
      </c>
      <c r="M46" s="2">
        <f t="shared" si="9"/>
        <v>361334</v>
      </c>
      <c r="N46" s="2"/>
    </row>
    <row r="47" spans="1:14" x14ac:dyDescent="0.3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4" x14ac:dyDescent="0.3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35">
      <c r="A49" t="s">
        <v>73</v>
      </c>
      <c r="B49" s="2">
        <f>B7</f>
        <v>19350</v>
      </c>
      <c r="C49" s="2">
        <f t="shared" ref="C49:M49" si="10">C7</f>
        <v>19550</v>
      </c>
      <c r="D49" s="2">
        <f t="shared" si="10"/>
        <v>19800</v>
      </c>
      <c r="E49" s="2">
        <f t="shared" si="10"/>
        <v>20050</v>
      </c>
      <c r="F49" s="2">
        <f t="shared" si="10"/>
        <v>20300</v>
      </c>
      <c r="G49" s="2">
        <f t="shared" si="10"/>
        <v>20550</v>
      </c>
      <c r="H49" s="2">
        <f t="shared" si="10"/>
        <v>20800</v>
      </c>
      <c r="I49" s="2">
        <f t="shared" si="10"/>
        <v>21100</v>
      </c>
      <c r="J49" s="2">
        <f t="shared" si="10"/>
        <v>21400</v>
      </c>
      <c r="K49" s="2">
        <f t="shared" si="10"/>
        <v>21750</v>
      </c>
      <c r="L49" s="2">
        <f t="shared" si="10"/>
        <v>22100</v>
      </c>
      <c r="M49" s="2">
        <f t="shared" si="10"/>
        <v>22450</v>
      </c>
    </row>
    <row r="50" spans="1:13" x14ac:dyDescent="0.3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x14ac:dyDescent="0.35">
      <c r="A51" t="s">
        <v>26</v>
      </c>
      <c r="B51" s="2">
        <f>B49*'Control Panel'!$B$11</f>
        <v>6772.5</v>
      </c>
      <c r="C51" s="2">
        <f>C49*'Control Panel'!$B$11</f>
        <v>6842.5</v>
      </c>
      <c r="D51" s="2">
        <f>D49*'Control Panel'!$B$11</f>
        <v>6930</v>
      </c>
      <c r="E51" s="2">
        <f>E49*'Control Panel'!$B$11</f>
        <v>7017.5</v>
      </c>
      <c r="F51" s="2">
        <f>F49*'Control Panel'!$B$11</f>
        <v>7105</v>
      </c>
      <c r="G51" s="2">
        <f>G49*'Control Panel'!$B$11</f>
        <v>7192.4999999999991</v>
      </c>
      <c r="H51" s="2">
        <f>H49*'Control Panel'!$B$11</f>
        <v>7279.9999999999991</v>
      </c>
      <c r="I51" s="2">
        <f>I49*'Control Panel'!$B$11</f>
        <v>7384.9999999999991</v>
      </c>
      <c r="J51" s="2">
        <f>J49*'Control Panel'!$B$11</f>
        <v>7489.9999999999991</v>
      </c>
      <c r="K51" s="2">
        <f>K49*'Control Panel'!$B$11</f>
        <v>7612.4999999999991</v>
      </c>
      <c r="L51" s="2">
        <f>L49*'Control Panel'!$B$11</f>
        <v>7734.9999999999991</v>
      </c>
      <c r="M51" s="2">
        <f>M49*'Control Panel'!$B$11</f>
        <v>7857.4999999999991</v>
      </c>
    </row>
    <row r="52" spans="1:13" x14ac:dyDescent="0.3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35">
      <c r="A53" t="s">
        <v>91</v>
      </c>
      <c r="B53" s="2">
        <f>B49-B51</f>
        <v>12577.5</v>
      </c>
      <c r="C53" s="2">
        <f t="shared" ref="C53:M53" si="11">C49-C51</f>
        <v>12707.5</v>
      </c>
      <c r="D53" s="2">
        <f t="shared" si="11"/>
        <v>12870</v>
      </c>
      <c r="E53" s="2">
        <f t="shared" si="11"/>
        <v>13032.5</v>
      </c>
      <c r="F53" s="2">
        <f t="shared" si="11"/>
        <v>13195</v>
      </c>
      <c r="G53" s="2">
        <f t="shared" si="11"/>
        <v>13357.5</v>
      </c>
      <c r="H53" s="2">
        <f t="shared" si="11"/>
        <v>13520</v>
      </c>
      <c r="I53" s="2">
        <f t="shared" si="11"/>
        <v>13715</v>
      </c>
      <c r="J53" s="2">
        <f t="shared" si="11"/>
        <v>13910</v>
      </c>
      <c r="K53" s="2">
        <f t="shared" si="11"/>
        <v>14137.5</v>
      </c>
      <c r="L53" s="2">
        <f t="shared" si="11"/>
        <v>14365</v>
      </c>
      <c r="M53" s="2">
        <f t="shared" si="11"/>
        <v>14592.5</v>
      </c>
    </row>
    <row r="54" spans="1:13" x14ac:dyDescent="0.3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x14ac:dyDescent="0.35">
      <c r="A55" t="s">
        <v>92</v>
      </c>
      <c r="B55" s="2">
        <f>B38</f>
        <v>5000</v>
      </c>
      <c r="C55" s="2">
        <f t="shared" ref="C55:M55" si="12">C38</f>
        <v>5000</v>
      </c>
      <c r="D55" s="2">
        <f t="shared" si="12"/>
        <v>5000</v>
      </c>
      <c r="E55" s="2">
        <f t="shared" si="12"/>
        <v>5000</v>
      </c>
      <c r="F55" s="2">
        <f t="shared" si="12"/>
        <v>5000</v>
      </c>
      <c r="G55" s="2">
        <f t="shared" si="12"/>
        <v>5000</v>
      </c>
      <c r="H55" s="2">
        <f t="shared" si="12"/>
        <v>5000</v>
      </c>
      <c r="I55" s="2">
        <f t="shared" si="12"/>
        <v>5000</v>
      </c>
      <c r="J55" s="2">
        <f t="shared" si="12"/>
        <v>5000</v>
      </c>
      <c r="K55" s="2">
        <f t="shared" si="12"/>
        <v>5000</v>
      </c>
      <c r="L55" s="2">
        <f t="shared" si="12"/>
        <v>5000</v>
      </c>
      <c r="M55" s="2">
        <f t="shared" si="12"/>
        <v>5000</v>
      </c>
    </row>
    <row r="56" spans="1:13" x14ac:dyDescent="0.3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x14ac:dyDescent="0.35">
      <c r="A57" t="s">
        <v>93</v>
      </c>
      <c r="B57" s="2">
        <f>B53-B55</f>
        <v>7577.5</v>
      </c>
      <c r="C57" s="2">
        <f t="shared" ref="C57:M57" si="13">C53-C55</f>
        <v>7707.5</v>
      </c>
      <c r="D57" s="2">
        <f t="shared" si="13"/>
        <v>7870</v>
      </c>
      <c r="E57" s="2">
        <f t="shared" si="13"/>
        <v>8032.5</v>
      </c>
      <c r="F57" s="2">
        <f t="shared" si="13"/>
        <v>8195</v>
      </c>
      <c r="G57" s="2">
        <f t="shared" si="13"/>
        <v>8357.5</v>
      </c>
      <c r="H57" s="2">
        <f t="shared" si="13"/>
        <v>8520</v>
      </c>
      <c r="I57" s="2">
        <f t="shared" si="13"/>
        <v>8715</v>
      </c>
      <c r="J57" s="2">
        <f t="shared" si="13"/>
        <v>8910</v>
      </c>
      <c r="K57" s="2">
        <f t="shared" si="13"/>
        <v>9137.5</v>
      </c>
      <c r="L57" s="2">
        <f t="shared" si="13"/>
        <v>9365</v>
      </c>
      <c r="M57" s="2">
        <f t="shared" si="13"/>
        <v>9592.5</v>
      </c>
    </row>
    <row r="59" spans="1:13" x14ac:dyDescent="0.35">
      <c r="A59" t="s">
        <v>94</v>
      </c>
      <c r="B59" s="3">
        <f>B57+'Year 3 Cash Budget'!M59</f>
        <v>120280</v>
      </c>
      <c r="C59" s="3">
        <f>B59+C57</f>
        <v>127987.5</v>
      </c>
      <c r="D59" s="3">
        <f t="shared" ref="D59:M59" si="14">C59+D57</f>
        <v>135857.5</v>
      </c>
      <c r="E59" s="3">
        <f t="shared" si="14"/>
        <v>143890</v>
      </c>
      <c r="F59" s="3">
        <f t="shared" si="14"/>
        <v>152085</v>
      </c>
      <c r="G59" s="3">
        <f t="shared" si="14"/>
        <v>160442.5</v>
      </c>
      <c r="H59" s="3">
        <f t="shared" si="14"/>
        <v>168962.5</v>
      </c>
      <c r="I59" s="3">
        <f t="shared" si="14"/>
        <v>177677.5</v>
      </c>
      <c r="J59" s="3">
        <f t="shared" si="14"/>
        <v>186587.5</v>
      </c>
      <c r="K59" s="3">
        <f t="shared" si="14"/>
        <v>195725</v>
      </c>
      <c r="L59" s="3">
        <f t="shared" si="14"/>
        <v>205090</v>
      </c>
      <c r="M59" s="3">
        <f t="shared" si="14"/>
        <v>214682.5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C1FA4-1F4A-A742-B92A-9ADA6AB03A5B}">
  <dimension ref="A1:P59"/>
  <sheetViews>
    <sheetView zoomScaleNormal="100" workbookViewId="0">
      <selection activeCell="B9" sqref="B9"/>
    </sheetView>
  </sheetViews>
  <sheetFormatPr baseColWidth="10" defaultColWidth="11" defaultRowHeight="15.5" x14ac:dyDescent="0.35"/>
  <cols>
    <col min="1" max="1" width="35.83203125" bestFit="1" customWidth="1"/>
    <col min="2" max="13" width="9" bestFit="1" customWidth="1"/>
    <col min="14" max="14" width="10.08203125" bestFit="1" customWidth="1"/>
    <col min="15" max="15" width="8.5" bestFit="1" customWidth="1"/>
    <col min="16" max="16" width="7.58203125" bestFit="1" customWidth="1"/>
  </cols>
  <sheetData>
    <row r="1" spans="1:16" x14ac:dyDescent="0.35">
      <c r="B1" s="12" t="s">
        <v>142</v>
      </c>
      <c r="C1" s="12" t="s">
        <v>143</v>
      </c>
      <c r="D1" s="12" t="s">
        <v>144</v>
      </c>
      <c r="E1" s="12" t="s">
        <v>145</v>
      </c>
      <c r="F1" s="12" t="s">
        <v>146</v>
      </c>
      <c r="G1" s="12" t="s">
        <v>147</v>
      </c>
      <c r="H1" s="12" t="s">
        <v>148</v>
      </c>
      <c r="I1" s="12" t="s">
        <v>149</v>
      </c>
      <c r="J1" s="12" t="s">
        <v>150</v>
      </c>
      <c r="K1" s="12" t="s">
        <v>151</v>
      </c>
      <c r="L1" s="12" t="s">
        <v>152</v>
      </c>
      <c r="M1" s="12" t="s">
        <v>153</v>
      </c>
      <c r="N1" s="12" t="s">
        <v>4</v>
      </c>
    </row>
    <row r="2" spans="1:16" x14ac:dyDescent="0.35">
      <c r="A2" s="9" t="s">
        <v>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6" x14ac:dyDescent="0.35">
      <c r="A3" t="s">
        <v>70</v>
      </c>
      <c r="B3" s="2">
        <f>'Control Panel'!$B$1</f>
        <v>50</v>
      </c>
      <c r="C3" s="2">
        <f t="shared" ref="C3:M3" si="0">B3</f>
        <v>50</v>
      </c>
      <c r="D3" s="2">
        <f t="shared" si="0"/>
        <v>50</v>
      </c>
      <c r="E3" s="2">
        <f t="shared" si="0"/>
        <v>50</v>
      </c>
      <c r="F3" s="2">
        <f t="shared" si="0"/>
        <v>50</v>
      </c>
      <c r="G3" s="2">
        <f t="shared" si="0"/>
        <v>50</v>
      </c>
      <c r="H3" s="2">
        <f t="shared" si="0"/>
        <v>50</v>
      </c>
      <c r="I3" s="2">
        <f t="shared" si="0"/>
        <v>50</v>
      </c>
      <c r="J3" s="2">
        <f t="shared" si="0"/>
        <v>50</v>
      </c>
      <c r="K3" s="2">
        <f t="shared" si="0"/>
        <v>50</v>
      </c>
      <c r="L3" s="2">
        <f t="shared" si="0"/>
        <v>50</v>
      </c>
      <c r="M3" s="2">
        <f t="shared" si="0"/>
        <v>50</v>
      </c>
      <c r="N3" s="2"/>
    </row>
    <row r="4" spans="1:16" x14ac:dyDescent="0.35">
      <c r="A4" t="s">
        <v>10</v>
      </c>
      <c r="B4" s="2">
        <f>ROUND((('Control Panel'!$B$2*(B5+1))*B6),0)</f>
        <v>456</v>
      </c>
      <c r="C4" s="2">
        <f>ROUND((('Control Panel'!$B$2*(C5+1))*C6),0)</f>
        <v>464</v>
      </c>
      <c r="D4" s="2">
        <f>ROUND((('Control Panel'!$B$2*(D5+1))*D6),0)</f>
        <v>472</v>
      </c>
      <c r="E4" s="2">
        <f>ROUND((('Control Panel'!$B$2*(E5+1))*E6),0)</f>
        <v>481</v>
      </c>
      <c r="F4" s="2">
        <f>ROUND((('Control Panel'!$B$2*(F5+1))*F6),0)</f>
        <v>490</v>
      </c>
      <c r="G4" s="2">
        <f>ROUND((('Control Panel'!$B$2*(G5+1))*G6),0)</f>
        <v>499</v>
      </c>
      <c r="H4" s="2">
        <f>ROUND((('Control Panel'!$B$2*(H5+1))*H6),0)</f>
        <v>509</v>
      </c>
      <c r="I4" s="2">
        <f>ROUND((('Control Panel'!$B$2*(I5+1))*I6),0)</f>
        <v>520</v>
      </c>
      <c r="J4" s="2">
        <f>ROUND((('Control Panel'!$B$2*(J5+1))*J6),0)</f>
        <v>531</v>
      </c>
      <c r="K4" s="2">
        <f>ROUND((('Control Panel'!$B$2*(K5+1))*K6),0)</f>
        <v>542</v>
      </c>
      <c r="L4" s="2">
        <f>ROUND((('Control Panel'!$B$2*(L5+1))*L6),0)</f>
        <v>554</v>
      </c>
      <c r="M4" s="2">
        <f>ROUND((('Control Panel'!$B$2*(M5+1))*M6),0)</f>
        <v>567</v>
      </c>
      <c r="N4" s="2">
        <f>SUM(B4:M4)</f>
        <v>6085</v>
      </c>
    </row>
    <row r="5" spans="1:16" x14ac:dyDescent="0.35">
      <c r="A5" t="s">
        <v>71</v>
      </c>
      <c r="B5" s="8">
        <f>'Year 4 Cash Budget'!M5*(1+'Control Panel'!$B$4)</f>
        <v>0.52006348234710664</v>
      </c>
      <c r="C5" s="8">
        <f>B5*(1+'Control Panel'!$B$4)</f>
        <v>0.54606665646446195</v>
      </c>
      <c r="D5" s="8">
        <f>C5*(1+'Control Panel'!$B$4)</f>
        <v>0.57336998928768512</v>
      </c>
      <c r="E5" s="8">
        <f>D5*(1+'Control Panel'!$B$4)</f>
        <v>0.60203848875206945</v>
      </c>
      <c r="F5" s="8">
        <f>E5*(1+'Control Panel'!$B$4)</f>
        <v>0.63214041318967296</v>
      </c>
      <c r="G5" s="8">
        <f>F5*(1+'Control Panel'!$B$4)</f>
        <v>0.66374743384915669</v>
      </c>
      <c r="H5" s="8">
        <f>G5*(1+'Control Panel'!$B$4)</f>
        <v>0.69693480554161458</v>
      </c>
      <c r="I5" s="8">
        <f>H5*(1+'Control Panel'!$B$4)</f>
        <v>0.73178154581869537</v>
      </c>
      <c r="J5" s="8">
        <f>I5*(1+'Control Panel'!$B$4)</f>
        <v>0.76837062310963011</v>
      </c>
      <c r="K5" s="8">
        <f>J5*(1+'Control Panel'!$B$4)</f>
        <v>0.80678915426511166</v>
      </c>
      <c r="L5" s="8">
        <f>K5*(1+'Control Panel'!$B$4)</f>
        <v>0.84712861197836731</v>
      </c>
      <c r="M5" s="8">
        <f>L5*(1+'Control Panel'!$B$4)</f>
        <v>0.88948504257728567</v>
      </c>
      <c r="N5" s="2"/>
    </row>
    <row r="6" spans="1:16" x14ac:dyDescent="0.35">
      <c r="A6" t="s">
        <v>72</v>
      </c>
      <c r="B6" s="7">
        <f>'Year 4 Cash Budget'!B6</f>
        <v>1</v>
      </c>
      <c r="C6" s="7">
        <f>'Year 3 Cash Budget'!C6</f>
        <v>1</v>
      </c>
      <c r="D6" s="7">
        <f>'Year 3 Cash Budget'!D6</f>
        <v>1</v>
      </c>
      <c r="E6" s="7">
        <f>'Year 3 Cash Budget'!E6</f>
        <v>1</v>
      </c>
      <c r="F6" s="7">
        <f>'Year 3 Cash Budget'!F6</f>
        <v>1</v>
      </c>
      <c r="G6" s="7">
        <f>'Year 3 Cash Budget'!G6</f>
        <v>1</v>
      </c>
      <c r="H6" s="7">
        <f>'Year 3 Cash Budget'!H6</f>
        <v>1</v>
      </c>
      <c r="I6" s="7">
        <f>'Year 3 Cash Budget'!I6</f>
        <v>1</v>
      </c>
      <c r="J6" s="7">
        <f>'Year 3 Cash Budget'!J6</f>
        <v>1</v>
      </c>
      <c r="K6" s="7">
        <f>'Year 3 Cash Budget'!K6</f>
        <v>1</v>
      </c>
      <c r="L6" s="7">
        <f>'Year 3 Cash Budget'!L6</f>
        <v>1</v>
      </c>
      <c r="M6" s="7">
        <f>'Year 3 Cash Budget'!M6</f>
        <v>1</v>
      </c>
      <c r="N6" s="2"/>
    </row>
    <row r="7" spans="1:16" x14ac:dyDescent="0.35">
      <c r="A7" t="s">
        <v>73</v>
      </c>
      <c r="B7" s="2">
        <f>B3*B4</f>
        <v>22800</v>
      </c>
      <c r="C7" s="2">
        <f t="shared" ref="C7:M7" si="1">C3*C4</f>
        <v>23200</v>
      </c>
      <c r="D7" s="2">
        <f t="shared" si="1"/>
        <v>23600</v>
      </c>
      <c r="E7" s="2">
        <f t="shared" si="1"/>
        <v>24050</v>
      </c>
      <c r="F7" s="2">
        <f t="shared" si="1"/>
        <v>24500</v>
      </c>
      <c r="G7" s="2">
        <f t="shared" si="1"/>
        <v>24950</v>
      </c>
      <c r="H7" s="2">
        <f t="shared" si="1"/>
        <v>25450</v>
      </c>
      <c r="I7" s="2">
        <f t="shared" si="1"/>
        <v>26000</v>
      </c>
      <c r="J7" s="2">
        <f t="shared" si="1"/>
        <v>26550</v>
      </c>
      <c r="K7" s="2">
        <f t="shared" si="1"/>
        <v>27100</v>
      </c>
      <c r="L7" s="2">
        <f t="shared" si="1"/>
        <v>27700</v>
      </c>
      <c r="M7" s="2">
        <f t="shared" si="1"/>
        <v>28350</v>
      </c>
      <c r="N7" s="2">
        <f>SUM(B7:M7)</f>
        <v>304250</v>
      </c>
      <c r="O7" t="s">
        <v>74</v>
      </c>
      <c r="P7" s="2">
        <f>(M7*'Control Panel'!$B$8)*(1/4)+(M7*'Control Panel'!$B$9)</f>
        <v>7087.5</v>
      </c>
    </row>
    <row r="8" spans="1:16" x14ac:dyDescent="0.3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P8" s="3"/>
    </row>
    <row r="9" spans="1:16" x14ac:dyDescent="0.35">
      <c r="A9" t="s">
        <v>75</v>
      </c>
      <c r="B9" s="2">
        <f>'Financial Statements'!E19</f>
        <v>340938</v>
      </c>
      <c r="C9" s="2">
        <f>B46</f>
        <v>350793</v>
      </c>
      <c r="D9" s="2">
        <f t="shared" ref="D9:M9" si="2">C46</f>
        <v>360913</v>
      </c>
      <c r="E9" s="2">
        <f t="shared" si="2"/>
        <v>371293</v>
      </c>
      <c r="F9" s="2">
        <f t="shared" si="2"/>
        <v>381970.5</v>
      </c>
      <c r="G9" s="2">
        <f t="shared" si="2"/>
        <v>392940.5</v>
      </c>
      <c r="H9" s="2">
        <f t="shared" si="2"/>
        <v>404203</v>
      </c>
      <c r="I9" s="2">
        <f t="shared" si="2"/>
        <v>415795.5</v>
      </c>
      <c r="J9" s="2">
        <f t="shared" si="2"/>
        <v>427750.5</v>
      </c>
      <c r="K9" s="2">
        <f t="shared" si="2"/>
        <v>440063</v>
      </c>
      <c r="L9" s="2">
        <f t="shared" si="2"/>
        <v>452733</v>
      </c>
      <c r="M9" s="2">
        <f t="shared" si="2"/>
        <v>465798</v>
      </c>
      <c r="N9" s="2"/>
      <c r="P9" s="13"/>
    </row>
    <row r="10" spans="1:16" x14ac:dyDescent="0.35">
      <c r="A10" t="s">
        <v>76</v>
      </c>
      <c r="B10" s="2">
        <f>B7*'Control Panel'!$B$7</f>
        <v>0</v>
      </c>
      <c r="C10" s="2">
        <f>C7*'Control Panel'!$B$7</f>
        <v>0</v>
      </c>
      <c r="D10" s="2">
        <f>D7*'Control Panel'!$B$7</f>
        <v>0</v>
      </c>
      <c r="E10" s="2">
        <f>E7*'Control Panel'!$B$7</f>
        <v>0</v>
      </c>
      <c r="F10" s="2">
        <f>F7*'Control Panel'!$B$7</f>
        <v>0</v>
      </c>
      <c r="G10" s="2">
        <f>G7*'Control Panel'!$B$7</f>
        <v>0</v>
      </c>
      <c r="H10" s="2">
        <f>H7*'Control Panel'!$B$7</f>
        <v>0</v>
      </c>
      <c r="I10" s="2">
        <f>I7*'Control Panel'!$B$7</f>
        <v>0</v>
      </c>
      <c r="J10" s="2">
        <f>J7*'Control Panel'!$B$7</f>
        <v>0</v>
      </c>
      <c r="K10" s="2">
        <f>K7*'Control Panel'!$B$7</f>
        <v>0</v>
      </c>
      <c r="L10" s="2">
        <f>L7*'Control Panel'!$B$7</f>
        <v>0</v>
      </c>
      <c r="M10" s="2">
        <f>M7*'Control Panel'!$B$7</f>
        <v>0</v>
      </c>
      <c r="N10" s="2">
        <f>SUM(B10:M10)</f>
        <v>0</v>
      </c>
    </row>
    <row r="11" spans="1:16" x14ac:dyDescent="0.35">
      <c r="A11" t="s">
        <v>77</v>
      </c>
      <c r="B11" s="2">
        <f>(B7*'Control Panel'!$B$8)*(3/4)</f>
        <v>17100</v>
      </c>
      <c r="C11" s="2">
        <f>(C7*'Control Panel'!$B$8)*(3/4)</f>
        <v>17400</v>
      </c>
      <c r="D11" s="2">
        <f>(D7*'Control Panel'!$B$8)*(3/4)</f>
        <v>17700</v>
      </c>
      <c r="E11" s="2">
        <f>(E7*'Control Panel'!$B$8)*(3/4)</f>
        <v>18037.5</v>
      </c>
      <c r="F11" s="2">
        <f>(F7*'Control Panel'!$B$8)*(3/4)</f>
        <v>18375</v>
      </c>
      <c r="G11" s="2">
        <f>(G7*'Control Panel'!$B$8)*(3/4)</f>
        <v>18712.5</v>
      </c>
      <c r="H11" s="2">
        <f>(H7*'Control Panel'!$B$8)*(3/4)</f>
        <v>19087.5</v>
      </c>
      <c r="I11" s="2">
        <f>(I7*'Control Panel'!$B$8)*(3/4)</f>
        <v>19500</v>
      </c>
      <c r="J11" s="2">
        <f>(J7*'Control Panel'!$B$8)*(3/4)</f>
        <v>19912.5</v>
      </c>
      <c r="K11" s="2">
        <f>(K7*'Control Panel'!$B$8)*(3/4)</f>
        <v>20325</v>
      </c>
      <c r="L11" s="2">
        <f>(L7*'Control Panel'!$B$8)*(3/4)</f>
        <v>20775</v>
      </c>
      <c r="M11" s="2">
        <f>(M7*'Control Panel'!$B$8)*(3/4)</f>
        <v>21262.5</v>
      </c>
      <c r="N11" s="2">
        <f>SUM(B11:M11)</f>
        <v>228187.5</v>
      </c>
    </row>
    <row r="12" spans="1:16" x14ac:dyDescent="0.35">
      <c r="A12" t="s">
        <v>78</v>
      </c>
      <c r="B12" s="2">
        <f>('Year 4 Cash Budget'!M7*'Control Panel'!$B$8)*(1/4)</f>
        <v>5612.5</v>
      </c>
      <c r="C12" s="2">
        <f>(B7*'Control Panel'!$B$8)*(1/4)</f>
        <v>5700</v>
      </c>
      <c r="D12" s="2">
        <f>(C7*'Control Panel'!$B$8)*(1/4)</f>
        <v>5800</v>
      </c>
      <c r="E12" s="2">
        <f>(D7*'Control Panel'!$B$8)*(1/4)</f>
        <v>5900</v>
      </c>
      <c r="F12" s="2">
        <f>(E7*'Control Panel'!$B$8)*(1/4)</f>
        <v>6012.5</v>
      </c>
      <c r="G12" s="2">
        <f>(F7*'Control Panel'!$B$8)*(1/4)</f>
        <v>6125</v>
      </c>
      <c r="H12" s="2">
        <f>(G7*'Control Panel'!$B$8)*(1/4)</f>
        <v>6237.5</v>
      </c>
      <c r="I12" s="2">
        <f>(H7*'Control Panel'!$B$8)*(1/4)</f>
        <v>6362.5</v>
      </c>
      <c r="J12" s="2">
        <f>(I7*'Control Panel'!$B$8)*(1/4)</f>
        <v>6500</v>
      </c>
      <c r="K12" s="2">
        <f>(J7*'Control Panel'!$B$8)*(1/4)</f>
        <v>6637.5</v>
      </c>
      <c r="L12" s="2">
        <f>(K7*'Control Panel'!$B$8)*(1/4)</f>
        <v>6775</v>
      </c>
      <c r="M12" s="2">
        <f>(L7*'Control Panel'!$B$8)*(1/4)</f>
        <v>6925</v>
      </c>
      <c r="N12" s="2">
        <f>SUM(B12:M12)</f>
        <v>74587.5</v>
      </c>
    </row>
    <row r="13" spans="1:16" x14ac:dyDescent="0.35">
      <c r="A13" t="s">
        <v>79</v>
      </c>
      <c r="B13" s="2">
        <f>('Year 4 Cash Budget'!M7*'Control Panel'!$B$9)</f>
        <v>0</v>
      </c>
      <c r="C13" s="2">
        <f>(B7*'Control Panel'!$B$9)</f>
        <v>0</v>
      </c>
      <c r="D13" s="2">
        <f>(C7*'Control Panel'!$B$9)</f>
        <v>0</v>
      </c>
      <c r="E13" s="2">
        <f>(D7*'Control Panel'!$B$9)</f>
        <v>0</v>
      </c>
      <c r="F13" s="2">
        <f>(E7*'Control Panel'!$B$9)</f>
        <v>0</v>
      </c>
      <c r="G13" s="2">
        <f>(F7*'Control Panel'!$B$9)</f>
        <v>0</v>
      </c>
      <c r="H13" s="2">
        <f>(G7*'Control Panel'!$B$9)</f>
        <v>0</v>
      </c>
      <c r="I13" s="2">
        <f>(H7*'Control Panel'!$B$9)</f>
        <v>0</v>
      </c>
      <c r="J13" s="2">
        <f>(I7*'Control Panel'!$B$9)</f>
        <v>0</v>
      </c>
      <c r="K13" s="2">
        <f>(J7*'Control Panel'!$B$9)</f>
        <v>0</v>
      </c>
      <c r="L13" s="2">
        <f>(K7*'Control Panel'!$B$9)</f>
        <v>0</v>
      </c>
      <c r="M13" s="2">
        <f>(L7*'Control Panel'!$B$9)</f>
        <v>0</v>
      </c>
      <c r="N13" s="2">
        <f>SUM(B13:M13)</f>
        <v>0</v>
      </c>
    </row>
    <row r="14" spans="1:16" x14ac:dyDescent="0.35">
      <c r="A14" t="s">
        <v>80</v>
      </c>
      <c r="B14" s="2">
        <f>SUM(B10:B13)</f>
        <v>22712.5</v>
      </c>
      <c r="C14" s="2">
        <f t="shared" ref="C14:M14" si="3">SUM(C10:C13)</f>
        <v>23100</v>
      </c>
      <c r="D14" s="2">
        <f t="shared" si="3"/>
        <v>23500</v>
      </c>
      <c r="E14" s="2">
        <f t="shared" si="3"/>
        <v>23937.5</v>
      </c>
      <c r="F14" s="2">
        <f t="shared" si="3"/>
        <v>24387.5</v>
      </c>
      <c r="G14" s="2">
        <f t="shared" si="3"/>
        <v>24837.5</v>
      </c>
      <c r="H14" s="2">
        <f t="shared" si="3"/>
        <v>25325</v>
      </c>
      <c r="I14" s="2">
        <f t="shared" si="3"/>
        <v>25862.5</v>
      </c>
      <c r="J14" s="2">
        <f t="shared" si="3"/>
        <v>26412.5</v>
      </c>
      <c r="K14" s="2">
        <f t="shared" si="3"/>
        <v>26962.5</v>
      </c>
      <c r="L14" s="2">
        <f t="shared" si="3"/>
        <v>27550</v>
      </c>
      <c r="M14" s="2">
        <f t="shared" si="3"/>
        <v>28187.5</v>
      </c>
      <c r="N14" s="2">
        <f>SUM(N10:N13)</f>
        <v>302775</v>
      </c>
    </row>
    <row r="15" spans="1:16" x14ac:dyDescent="0.3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6" x14ac:dyDescent="0.35">
      <c r="A16" t="s">
        <v>81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>
        <f>SUM(B16:M16)</f>
        <v>0</v>
      </c>
    </row>
    <row r="17" spans="1:16" x14ac:dyDescent="0.3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6" x14ac:dyDescent="0.35">
      <c r="A18" t="s">
        <v>82</v>
      </c>
      <c r="B18" s="2">
        <f>(B7*'Control Panel'!$B$11)*(1-'Control Panel'!$B$13)</f>
        <v>0</v>
      </c>
      <c r="C18" s="2">
        <f>(C7*'Control Panel'!$B$11)*(1-'Control Panel'!$B$13)</f>
        <v>0</v>
      </c>
      <c r="D18" s="2">
        <f>(D7*'Control Panel'!$B$11)*(1-'Control Panel'!$B$13)</f>
        <v>0</v>
      </c>
      <c r="E18" s="2">
        <f>(E7*'Control Panel'!$B$11)*(1-'Control Panel'!$B$13)</f>
        <v>0</v>
      </c>
      <c r="F18" s="2">
        <f>(F7*'Control Panel'!$B$11)*(1-'Control Panel'!$B$13)</f>
        <v>0</v>
      </c>
      <c r="G18" s="2">
        <f>(G7*'Control Panel'!$B$11)*(1-'Control Panel'!$B$13)</f>
        <v>0</v>
      </c>
      <c r="H18" s="2">
        <f>(H7*'Control Panel'!$B$11)*(1-'Control Panel'!$B$13)</f>
        <v>0</v>
      </c>
      <c r="I18" s="2">
        <f>(I7*'Control Panel'!$B$11)*(1-'Control Panel'!$B$13)</f>
        <v>0</v>
      </c>
      <c r="J18" s="2">
        <f>(J7*'Control Panel'!$B$11)*(1-'Control Panel'!$B$13)</f>
        <v>0</v>
      </c>
      <c r="K18" s="2">
        <f>(K7*'Control Panel'!$B$11)*(1-'Control Panel'!$B$13)</f>
        <v>0</v>
      </c>
      <c r="L18" s="2">
        <f>(L7*'Control Panel'!$B$11)*(1-'Control Panel'!$B$13)</f>
        <v>0</v>
      </c>
      <c r="M18" s="2">
        <f>(M7*'Control Panel'!$B$11)*(1-'Control Panel'!$B$13)</f>
        <v>0</v>
      </c>
      <c r="N18" s="2">
        <f>SUM(B18:M18)</f>
        <v>0</v>
      </c>
    </row>
    <row r="19" spans="1:16" x14ac:dyDescent="0.35">
      <c r="A19" t="s">
        <v>83</v>
      </c>
      <c r="B19" s="2">
        <f>('Year 4 Cash Budget'!M7*'Control Panel'!$B$11)*('Control Panel'!$B$13)</f>
        <v>7857.4999999999991</v>
      </c>
      <c r="C19" s="2">
        <f>(B7*'Control Panel'!$B$11)*('Control Panel'!$B$13)</f>
        <v>7979.9999999999991</v>
      </c>
      <c r="D19" s="2">
        <f>(C7*'Control Panel'!$B$11)*('Control Panel'!$B$13)</f>
        <v>8119.9999999999991</v>
      </c>
      <c r="E19" s="2">
        <f>(D7*'Control Panel'!$B$11)*('Control Panel'!$B$13)</f>
        <v>8260</v>
      </c>
      <c r="F19" s="2">
        <f>(E7*'Control Panel'!$B$11)*('Control Panel'!$B$13)</f>
        <v>8417.5</v>
      </c>
      <c r="G19" s="2">
        <f>(F7*'Control Panel'!$B$11)*('Control Panel'!$B$13)</f>
        <v>8575</v>
      </c>
      <c r="H19" s="2">
        <f>(G7*'Control Panel'!$B$11)*('Control Panel'!$B$13)</f>
        <v>8732.5</v>
      </c>
      <c r="I19" s="2">
        <f>(H7*'Control Panel'!$B$11)*('Control Panel'!$B$13)</f>
        <v>8907.5</v>
      </c>
      <c r="J19" s="2">
        <f>(I7*'Control Panel'!$B$11)*('Control Panel'!$B$13)</f>
        <v>9100</v>
      </c>
      <c r="K19" s="2">
        <f>(J7*'Control Panel'!$B$11)*('Control Panel'!$B$13)</f>
        <v>9292.5</v>
      </c>
      <c r="L19" s="2">
        <f>(K7*'Control Panel'!$B$11)*('Control Panel'!$B$13)</f>
        <v>9485</v>
      </c>
      <c r="M19" s="2">
        <f>(L7*'Control Panel'!$B$11)*('Control Panel'!$B$13)</f>
        <v>9695</v>
      </c>
      <c r="N19" s="2">
        <f>SUM(B19:M19)</f>
        <v>104422.5</v>
      </c>
    </row>
    <row r="20" spans="1:16" x14ac:dyDescent="0.35">
      <c r="A20" t="s">
        <v>84</v>
      </c>
      <c r="B20" s="2">
        <f>SUM(B18:B19)</f>
        <v>7857.4999999999991</v>
      </c>
      <c r="C20" s="2">
        <f t="shared" ref="C20:M20" si="4">SUM(C18:C19)</f>
        <v>7979.9999999999991</v>
      </c>
      <c r="D20" s="2">
        <f t="shared" si="4"/>
        <v>8119.9999999999991</v>
      </c>
      <c r="E20" s="2">
        <f t="shared" si="4"/>
        <v>8260</v>
      </c>
      <c r="F20" s="2">
        <f t="shared" si="4"/>
        <v>8417.5</v>
      </c>
      <c r="G20" s="2">
        <f t="shared" si="4"/>
        <v>8575</v>
      </c>
      <c r="H20" s="2">
        <f t="shared" si="4"/>
        <v>8732.5</v>
      </c>
      <c r="I20" s="2">
        <f t="shared" si="4"/>
        <v>8907.5</v>
      </c>
      <c r="J20" s="2">
        <f t="shared" si="4"/>
        <v>9100</v>
      </c>
      <c r="K20" s="2">
        <f t="shared" si="4"/>
        <v>9292.5</v>
      </c>
      <c r="L20" s="2">
        <f t="shared" si="4"/>
        <v>9485</v>
      </c>
      <c r="M20" s="2">
        <f t="shared" si="4"/>
        <v>9695</v>
      </c>
      <c r="N20" s="2">
        <f>SUM(N18:N19)</f>
        <v>104422.5</v>
      </c>
      <c r="O20" t="s">
        <v>85</v>
      </c>
      <c r="P20" s="3">
        <f>(M7*'Control Panel'!$B$11)*('Control Panel'!$B$13)</f>
        <v>9922.5</v>
      </c>
    </row>
    <row r="21" spans="1:16" x14ac:dyDescent="0.3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6" x14ac:dyDescent="0.35">
      <c r="A22" t="s">
        <v>32</v>
      </c>
      <c r="B22" s="2">
        <f>'Year 4 Cash Budget'!B22</f>
        <v>0</v>
      </c>
      <c r="C22" s="2">
        <f>'Year 4 Cash Budget'!C22</f>
        <v>0</v>
      </c>
      <c r="D22" s="2">
        <f>'Year 4 Cash Budget'!D22</f>
        <v>0</v>
      </c>
      <c r="E22" s="2">
        <f>'Year 4 Cash Budget'!E22</f>
        <v>0</v>
      </c>
      <c r="F22" s="2">
        <f>'Year 4 Cash Budget'!F22</f>
        <v>0</v>
      </c>
      <c r="G22" s="2">
        <f>'Year 4 Cash Budget'!G22</f>
        <v>0</v>
      </c>
      <c r="H22" s="2">
        <f>'Year 4 Cash Budget'!H22</f>
        <v>0</v>
      </c>
      <c r="I22" s="2">
        <f>'Year 4 Cash Budget'!I22</f>
        <v>0</v>
      </c>
      <c r="J22" s="2">
        <f>'Year 4 Cash Budget'!J22</f>
        <v>0</v>
      </c>
      <c r="K22" s="2">
        <f>'Year 4 Cash Budget'!K22</f>
        <v>0</v>
      </c>
      <c r="L22" s="2">
        <f>'Year 4 Cash Budget'!L22</f>
        <v>0</v>
      </c>
      <c r="M22" s="2">
        <f>'Year 4 Cash Budget'!M22</f>
        <v>0</v>
      </c>
      <c r="N22" s="2">
        <f t="shared" ref="N22:N37" si="5">SUM(B22:M22)</f>
        <v>0</v>
      </c>
    </row>
    <row r="23" spans="1:16" x14ac:dyDescent="0.35">
      <c r="A23" t="s">
        <v>33</v>
      </c>
      <c r="B23" s="2">
        <f>'Year 4 Cash Budget'!B23</f>
        <v>0</v>
      </c>
      <c r="C23" s="2">
        <f>'Year 4 Cash Budget'!C23</f>
        <v>0</v>
      </c>
      <c r="D23" s="2">
        <f>'Year 4 Cash Budget'!D23</f>
        <v>0</v>
      </c>
      <c r="E23" s="2">
        <f>'Year 4 Cash Budget'!E23</f>
        <v>0</v>
      </c>
      <c r="F23" s="2">
        <f>'Year 4 Cash Budget'!F23</f>
        <v>0</v>
      </c>
      <c r="G23" s="2">
        <f>'Year 4 Cash Budget'!G23</f>
        <v>0</v>
      </c>
      <c r="H23" s="2">
        <f>'Year 4 Cash Budget'!H23</f>
        <v>0</v>
      </c>
      <c r="I23" s="2">
        <f>'Year 4 Cash Budget'!I23</f>
        <v>0</v>
      </c>
      <c r="J23" s="2">
        <f>'Year 4 Cash Budget'!J23</f>
        <v>0</v>
      </c>
      <c r="K23" s="2">
        <f>'Year 4 Cash Budget'!K23</f>
        <v>0</v>
      </c>
      <c r="L23" s="2">
        <f>'Year 4 Cash Budget'!L23</f>
        <v>0</v>
      </c>
      <c r="M23" s="2">
        <f>'Year 4 Cash Budget'!M23</f>
        <v>0</v>
      </c>
      <c r="N23" s="2">
        <f t="shared" si="5"/>
        <v>0</v>
      </c>
    </row>
    <row r="24" spans="1:16" x14ac:dyDescent="0.35">
      <c r="A24" t="s">
        <v>34</v>
      </c>
      <c r="B24" s="2">
        <f>'Year 4 Cash Budget'!B24</f>
        <v>0</v>
      </c>
      <c r="C24" s="2">
        <f>'Year 4 Cash Budget'!C24</f>
        <v>0</v>
      </c>
      <c r="D24" s="2">
        <f>'Year 4 Cash Budget'!D24</f>
        <v>0</v>
      </c>
      <c r="E24" s="2">
        <f>'Year 4 Cash Budget'!E24</f>
        <v>0</v>
      </c>
      <c r="F24" s="2">
        <f>'Year 4 Cash Budget'!F24</f>
        <v>0</v>
      </c>
      <c r="G24" s="2">
        <f>'Year 4 Cash Budget'!G24</f>
        <v>0</v>
      </c>
      <c r="H24" s="2">
        <f>'Year 4 Cash Budget'!H24</f>
        <v>0</v>
      </c>
      <c r="I24" s="2">
        <f>'Year 4 Cash Budget'!I24</f>
        <v>0</v>
      </c>
      <c r="J24" s="2">
        <f>'Year 4 Cash Budget'!J24</f>
        <v>0</v>
      </c>
      <c r="K24" s="2">
        <f>'Year 4 Cash Budget'!K24</f>
        <v>0</v>
      </c>
      <c r="L24" s="2">
        <f>'Year 4 Cash Budget'!L24</f>
        <v>0</v>
      </c>
      <c r="M24" s="2">
        <f>'Year 4 Cash Budget'!M24</f>
        <v>0</v>
      </c>
      <c r="N24" s="2">
        <f t="shared" si="5"/>
        <v>0</v>
      </c>
    </row>
    <row r="25" spans="1:16" x14ac:dyDescent="0.35">
      <c r="A25" t="s">
        <v>35</v>
      </c>
      <c r="B25" s="2">
        <f>'Year 4 Cash Budget'!B25</f>
        <v>0</v>
      </c>
      <c r="C25" s="2">
        <f>'Year 4 Cash Budget'!C25</f>
        <v>0</v>
      </c>
      <c r="D25" s="2">
        <f>'Year 4 Cash Budget'!D25</f>
        <v>0</v>
      </c>
      <c r="E25" s="2">
        <f>'Year 4 Cash Budget'!E25</f>
        <v>0</v>
      </c>
      <c r="F25" s="2">
        <f>'Year 4 Cash Budget'!F25</f>
        <v>0</v>
      </c>
      <c r="G25" s="2">
        <f>'Year 4 Cash Budget'!G25</f>
        <v>0</v>
      </c>
      <c r="H25" s="2">
        <f>'Year 4 Cash Budget'!H25</f>
        <v>0</v>
      </c>
      <c r="I25" s="2">
        <f>'Year 4 Cash Budget'!I25</f>
        <v>0</v>
      </c>
      <c r="J25" s="2">
        <f>'Year 4 Cash Budget'!J25</f>
        <v>0</v>
      </c>
      <c r="K25" s="2">
        <f>'Year 4 Cash Budget'!K25</f>
        <v>0</v>
      </c>
      <c r="L25" s="2">
        <f>'Year 4 Cash Budget'!L25</f>
        <v>0</v>
      </c>
      <c r="M25" s="2">
        <f>'Year 4 Cash Budget'!M25</f>
        <v>0</v>
      </c>
      <c r="N25" s="2">
        <f t="shared" si="5"/>
        <v>0</v>
      </c>
    </row>
    <row r="26" spans="1:16" x14ac:dyDescent="0.35">
      <c r="A26" t="s">
        <v>36</v>
      </c>
      <c r="B26" s="2">
        <f>'Year 4 Cash Budget'!B26</f>
        <v>0</v>
      </c>
      <c r="C26" s="2">
        <f>'Year 4 Cash Budget'!C26</f>
        <v>0</v>
      </c>
      <c r="D26" s="2">
        <f>'Year 4 Cash Budget'!D26</f>
        <v>0</v>
      </c>
      <c r="E26" s="2">
        <f>'Year 4 Cash Budget'!E26</f>
        <v>0</v>
      </c>
      <c r="F26" s="2">
        <f>'Year 4 Cash Budget'!F26</f>
        <v>0</v>
      </c>
      <c r="G26" s="2">
        <f>'Year 4 Cash Budget'!G26</f>
        <v>0</v>
      </c>
      <c r="H26" s="2">
        <f>'Year 4 Cash Budget'!H26</f>
        <v>0</v>
      </c>
      <c r="I26" s="2">
        <f>'Year 4 Cash Budget'!I26</f>
        <v>0</v>
      </c>
      <c r="J26" s="2">
        <f>'Year 4 Cash Budget'!J26</f>
        <v>0</v>
      </c>
      <c r="K26" s="2">
        <f>'Year 4 Cash Budget'!K26</f>
        <v>0</v>
      </c>
      <c r="L26" s="2">
        <f>'Year 4 Cash Budget'!L26</f>
        <v>0</v>
      </c>
      <c r="M26" s="2">
        <f>'Year 4 Cash Budget'!M26</f>
        <v>0</v>
      </c>
      <c r="N26" s="2">
        <f t="shared" si="5"/>
        <v>0</v>
      </c>
    </row>
    <row r="27" spans="1:16" x14ac:dyDescent="0.35">
      <c r="A27" t="s">
        <v>37</v>
      </c>
      <c r="B27" s="2">
        <f>'Year 4 Cash Budget'!B27</f>
        <v>0</v>
      </c>
      <c r="C27" s="2">
        <f>'Year 4 Cash Budget'!C27</f>
        <v>0</v>
      </c>
      <c r="D27" s="2">
        <f>'Year 4 Cash Budget'!D27</f>
        <v>0</v>
      </c>
      <c r="E27" s="2">
        <f>'Year 4 Cash Budget'!E27</f>
        <v>0</v>
      </c>
      <c r="F27" s="2">
        <f>'Year 4 Cash Budget'!F27</f>
        <v>0</v>
      </c>
      <c r="G27" s="2">
        <f>'Year 4 Cash Budget'!G27</f>
        <v>0</v>
      </c>
      <c r="H27" s="2">
        <f>'Year 4 Cash Budget'!H27</f>
        <v>0</v>
      </c>
      <c r="I27" s="2">
        <f>'Year 4 Cash Budget'!I27</f>
        <v>0</v>
      </c>
      <c r="J27" s="2">
        <f>'Year 4 Cash Budget'!J27</f>
        <v>0</v>
      </c>
      <c r="K27" s="2">
        <f>'Year 4 Cash Budget'!K27</f>
        <v>0</v>
      </c>
      <c r="L27" s="2">
        <f>'Year 4 Cash Budget'!L27</f>
        <v>0</v>
      </c>
      <c r="M27" s="2">
        <f>'Year 4 Cash Budget'!M27</f>
        <v>0</v>
      </c>
      <c r="N27" s="2">
        <f t="shared" si="5"/>
        <v>0</v>
      </c>
    </row>
    <row r="28" spans="1:16" x14ac:dyDescent="0.35">
      <c r="A28" t="s">
        <v>38</v>
      </c>
      <c r="B28" s="2">
        <f>'Year 4 Cash Budget'!B28</f>
        <v>0</v>
      </c>
      <c r="C28" s="2">
        <f>'Year 4 Cash Budget'!C28</f>
        <v>0</v>
      </c>
      <c r="D28" s="2">
        <f>'Year 4 Cash Budget'!D28</f>
        <v>0</v>
      </c>
      <c r="E28" s="2">
        <f>'Year 4 Cash Budget'!E28</f>
        <v>0</v>
      </c>
      <c r="F28" s="2">
        <f>'Year 4 Cash Budget'!F28</f>
        <v>0</v>
      </c>
      <c r="G28" s="2">
        <f>'Year 4 Cash Budget'!G28</f>
        <v>0</v>
      </c>
      <c r="H28" s="2">
        <f>'Year 4 Cash Budget'!H28</f>
        <v>0</v>
      </c>
      <c r="I28" s="2">
        <f>'Year 4 Cash Budget'!I28</f>
        <v>0</v>
      </c>
      <c r="J28" s="2">
        <f>'Year 4 Cash Budget'!J28</f>
        <v>0</v>
      </c>
      <c r="K28" s="2">
        <f>'Year 4 Cash Budget'!K28</f>
        <v>0</v>
      </c>
      <c r="L28" s="2">
        <f>'Year 4 Cash Budget'!L28</f>
        <v>0</v>
      </c>
      <c r="M28" s="2">
        <f>'Year 4 Cash Budget'!M28</f>
        <v>0</v>
      </c>
      <c r="N28" s="2">
        <f t="shared" si="5"/>
        <v>0</v>
      </c>
    </row>
    <row r="29" spans="1:16" x14ac:dyDescent="0.35">
      <c r="A29" t="s">
        <v>39</v>
      </c>
      <c r="B29" s="2">
        <f>'Year 4 Cash Budget'!B29</f>
        <v>0</v>
      </c>
      <c r="C29" s="2">
        <f>'Year 4 Cash Budget'!C29</f>
        <v>0</v>
      </c>
      <c r="D29" s="2">
        <f>'Year 4 Cash Budget'!D29</f>
        <v>0</v>
      </c>
      <c r="E29" s="2">
        <f>'Year 4 Cash Budget'!E29</f>
        <v>0</v>
      </c>
      <c r="F29" s="2">
        <f>'Year 4 Cash Budget'!F29</f>
        <v>0</v>
      </c>
      <c r="G29" s="2">
        <f>'Year 4 Cash Budget'!G29</f>
        <v>0</v>
      </c>
      <c r="H29" s="2">
        <f>'Year 4 Cash Budget'!H29</f>
        <v>0</v>
      </c>
      <c r="I29" s="2">
        <f>'Year 4 Cash Budget'!I29</f>
        <v>0</v>
      </c>
      <c r="J29" s="2">
        <f>'Year 4 Cash Budget'!J29</f>
        <v>0</v>
      </c>
      <c r="K29" s="2">
        <f>'Year 4 Cash Budget'!K29</f>
        <v>0</v>
      </c>
      <c r="L29" s="2">
        <f>'Year 4 Cash Budget'!L29</f>
        <v>0</v>
      </c>
      <c r="M29" s="2">
        <f>'Year 4 Cash Budget'!M29</f>
        <v>0</v>
      </c>
      <c r="N29" s="2">
        <f t="shared" si="5"/>
        <v>0</v>
      </c>
    </row>
    <row r="30" spans="1:16" x14ac:dyDescent="0.35">
      <c r="A30" t="s">
        <v>41</v>
      </c>
      <c r="B30" s="2">
        <f>'Year 4 Cash Budget'!B30</f>
        <v>0</v>
      </c>
      <c r="C30" s="2">
        <f>'Year 4 Cash Budget'!C30</f>
        <v>0</v>
      </c>
      <c r="D30" s="2">
        <f>'Year 4 Cash Budget'!D30</f>
        <v>0</v>
      </c>
      <c r="E30" s="2">
        <f>'Year 4 Cash Budget'!E30</f>
        <v>0</v>
      </c>
      <c r="F30" s="2">
        <f>'Year 4 Cash Budget'!F30</f>
        <v>0</v>
      </c>
      <c r="G30" s="2">
        <f>'Year 4 Cash Budget'!G30</f>
        <v>0</v>
      </c>
      <c r="H30" s="2">
        <f>'Year 4 Cash Budget'!H30</f>
        <v>0</v>
      </c>
      <c r="I30" s="2">
        <f>'Year 4 Cash Budget'!I30</f>
        <v>0</v>
      </c>
      <c r="J30" s="2">
        <f>'Year 4 Cash Budget'!J30</f>
        <v>0</v>
      </c>
      <c r="K30" s="2">
        <f>'Year 4 Cash Budget'!K30</f>
        <v>0</v>
      </c>
      <c r="L30" s="2">
        <f>'Year 4 Cash Budget'!L30</f>
        <v>0</v>
      </c>
      <c r="M30" s="2">
        <f>'Year 4 Cash Budget'!M30</f>
        <v>0</v>
      </c>
      <c r="N30" s="2">
        <f t="shared" si="5"/>
        <v>0</v>
      </c>
    </row>
    <row r="31" spans="1:16" x14ac:dyDescent="0.35">
      <c r="A31" t="s">
        <v>86</v>
      </c>
      <c r="B31" s="2">
        <f>'Year 4 Cash Budget'!B31</f>
        <v>0</v>
      </c>
      <c r="C31" s="2">
        <f>'Year 4 Cash Budget'!C31</f>
        <v>0</v>
      </c>
      <c r="D31" s="2">
        <f>'Year 4 Cash Budget'!D31</f>
        <v>0</v>
      </c>
      <c r="E31" s="2">
        <f>'Year 4 Cash Budget'!E31</f>
        <v>0</v>
      </c>
      <c r="F31" s="2">
        <f>'Year 4 Cash Budget'!F31</f>
        <v>0</v>
      </c>
      <c r="G31" s="2">
        <f>'Year 4 Cash Budget'!G31</f>
        <v>0</v>
      </c>
      <c r="H31" s="2">
        <f>'Year 4 Cash Budget'!H31</f>
        <v>0</v>
      </c>
      <c r="I31" s="2">
        <f>'Year 4 Cash Budget'!I31</f>
        <v>0</v>
      </c>
      <c r="J31" s="2">
        <f>'Year 4 Cash Budget'!J31</f>
        <v>0</v>
      </c>
      <c r="K31" s="2">
        <f>'Year 4 Cash Budget'!K31</f>
        <v>0</v>
      </c>
      <c r="L31" s="2">
        <f>'Year 4 Cash Budget'!L31</f>
        <v>0</v>
      </c>
      <c r="M31" s="2">
        <f>'Year 4 Cash Budget'!M31</f>
        <v>0</v>
      </c>
      <c r="N31" s="2">
        <f t="shared" si="5"/>
        <v>0</v>
      </c>
    </row>
    <row r="32" spans="1:16" x14ac:dyDescent="0.35">
      <c r="A32" t="s">
        <v>45</v>
      </c>
      <c r="B32" s="2">
        <f>'Year 4 Cash Budget'!B32</f>
        <v>0</v>
      </c>
      <c r="C32" s="2">
        <f>'Year 4 Cash Budget'!C32</f>
        <v>0</v>
      </c>
      <c r="D32" s="2">
        <f>'Year 4 Cash Budget'!D32</f>
        <v>0</v>
      </c>
      <c r="E32" s="2">
        <f>'Year 4 Cash Budget'!E32</f>
        <v>0</v>
      </c>
      <c r="F32" s="2">
        <f>'Year 4 Cash Budget'!F32</f>
        <v>0</v>
      </c>
      <c r="G32" s="2">
        <f>'Year 4 Cash Budget'!G32</f>
        <v>0</v>
      </c>
      <c r="H32" s="2">
        <f>'Year 4 Cash Budget'!H32</f>
        <v>0</v>
      </c>
      <c r="I32" s="2">
        <f>'Year 4 Cash Budget'!I32</f>
        <v>0</v>
      </c>
      <c r="J32" s="2">
        <f>'Year 4 Cash Budget'!J32</f>
        <v>0</v>
      </c>
      <c r="K32" s="2">
        <f>'Year 4 Cash Budget'!K32</f>
        <v>0</v>
      </c>
      <c r="L32" s="2">
        <f>'Year 4 Cash Budget'!L32</f>
        <v>0</v>
      </c>
      <c r="M32" s="2">
        <f>'Year 4 Cash Budget'!M32</f>
        <v>0</v>
      </c>
      <c r="N32" s="2">
        <f t="shared" si="5"/>
        <v>0</v>
      </c>
    </row>
    <row r="33" spans="1:14" x14ac:dyDescent="0.35">
      <c r="A33" t="s">
        <v>46</v>
      </c>
      <c r="B33" s="2">
        <f>'Year 4 Cash Budget'!B33</f>
        <v>0</v>
      </c>
      <c r="C33" s="2">
        <f>'Year 4 Cash Budget'!C33</f>
        <v>0</v>
      </c>
      <c r="D33" s="2">
        <f>'Year 4 Cash Budget'!D33</f>
        <v>0</v>
      </c>
      <c r="E33" s="2">
        <f>'Year 4 Cash Budget'!E33</f>
        <v>0</v>
      </c>
      <c r="F33" s="2">
        <f>'Year 4 Cash Budget'!F33</f>
        <v>0</v>
      </c>
      <c r="G33" s="2">
        <f>'Year 4 Cash Budget'!G33</f>
        <v>0</v>
      </c>
      <c r="H33" s="2">
        <f>'Year 4 Cash Budget'!H33</f>
        <v>0</v>
      </c>
      <c r="I33" s="2">
        <f>'Year 4 Cash Budget'!I33</f>
        <v>0</v>
      </c>
      <c r="J33" s="2">
        <f>'Year 4 Cash Budget'!J33</f>
        <v>0</v>
      </c>
      <c r="K33" s="2">
        <f>'Year 4 Cash Budget'!K33</f>
        <v>0</v>
      </c>
      <c r="L33" s="2">
        <f>'Year 4 Cash Budget'!L33</f>
        <v>0</v>
      </c>
      <c r="M33" s="2">
        <f>'Year 4 Cash Budget'!M33</f>
        <v>0</v>
      </c>
      <c r="N33" s="2">
        <f t="shared" si="5"/>
        <v>0</v>
      </c>
    </row>
    <row r="34" spans="1:14" x14ac:dyDescent="0.35">
      <c r="A34" t="s">
        <v>47</v>
      </c>
      <c r="B34" s="2">
        <f>'Year 4 Cash Budget'!B34</f>
        <v>0</v>
      </c>
      <c r="C34" s="2">
        <f>'Year 4 Cash Budget'!C34</f>
        <v>0</v>
      </c>
      <c r="D34" s="2">
        <f>'Year 4 Cash Budget'!D34</f>
        <v>0</v>
      </c>
      <c r="E34" s="2">
        <f>'Year 4 Cash Budget'!E34</f>
        <v>0</v>
      </c>
      <c r="F34" s="2">
        <f>'Year 4 Cash Budget'!F34</f>
        <v>0</v>
      </c>
      <c r="G34" s="2">
        <f>'Year 4 Cash Budget'!G34</f>
        <v>0</v>
      </c>
      <c r="H34" s="2">
        <f>'Year 4 Cash Budget'!H34</f>
        <v>0</v>
      </c>
      <c r="I34" s="2">
        <f>'Year 4 Cash Budget'!I34</f>
        <v>0</v>
      </c>
      <c r="J34" s="2">
        <f>'Year 4 Cash Budget'!J34</f>
        <v>0</v>
      </c>
      <c r="K34" s="2">
        <f>'Year 4 Cash Budget'!K34</f>
        <v>0</v>
      </c>
      <c r="L34" s="2">
        <f>'Year 4 Cash Budget'!L34</f>
        <v>0</v>
      </c>
      <c r="M34" s="2">
        <f>'Year 4 Cash Budget'!M34</f>
        <v>0</v>
      </c>
      <c r="N34" s="2">
        <f t="shared" si="5"/>
        <v>0</v>
      </c>
    </row>
    <row r="35" spans="1:14" x14ac:dyDescent="0.35">
      <c r="A35" t="s">
        <v>48</v>
      </c>
      <c r="B35" s="2">
        <f>'Year 4 Cash Budget'!B35</f>
        <v>0</v>
      </c>
      <c r="C35" s="2">
        <f>'Year 4 Cash Budget'!C35</f>
        <v>0</v>
      </c>
      <c r="D35" s="2">
        <f>'Year 4 Cash Budget'!D35</f>
        <v>0</v>
      </c>
      <c r="E35" s="2">
        <f>'Year 4 Cash Budget'!E35</f>
        <v>0</v>
      </c>
      <c r="F35" s="2">
        <f>'Year 4 Cash Budget'!F35</f>
        <v>0</v>
      </c>
      <c r="G35" s="2">
        <f>'Year 4 Cash Budget'!G35</f>
        <v>0</v>
      </c>
      <c r="H35" s="2">
        <f>'Year 4 Cash Budget'!H35</f>
        <v>0</v>
      </c>
      <c r="I35" s="2">
        <f>'Year 4 Cash Budget'!I35</f>
        <v>0</v>
      </c>
      <c r="J35" s="2">
        <f>'Year 4 Cash Budget'!J35</f>
        <v>0</v>
      </c>
      <c r="K35" s="2">
        <f>'Year 4 Cash Budget'!K35</f>
        <v>0</v>
      </c>
      <c r="L35" s="2">
        <f>'Year 4 Cash Budget'!L35</f>
        <v>0</v>
      </c>
      <c r="M35" s="2">
        <f>'Year 4 Cash Budget'!M35</f>
        <v>0</v>
      </c>
      <c r="N35" s="2">
        <f t="shared" si="5"/>
        <v>0</v>
      </c>
    </row>
    <row r="36" spans="1:14" x14ac:dyDescent="0.35">
      <c r="A36" t="s">
        <v>87</v>
      </c>
      <c r="B36" s="2">
        <f>'Year 4 Cash Budget'!B36</f>
        <v>0</v>
      </c>
      <c r="C36" s="2">
        <f>'Year 4 Cash Budget'!C36</f>
        <v>0</v>
      </c>
      <c r="D36" s="2">
        <f>'Year 4 Cash Budget'!D36</f>
        <v>0</v>
      </c>
      <c r="E36" s="2">
        <f>'Year 4 Cash Budget'!E36</f>
        <v>0</v>
      </c>
      <c r="F36" s="2">
        <f>'Year 4 Cash Budget'!F36</f>
        <v>0</v>
      </c>
      <c r="G36" s="2">
        <f>'Year 4 Cash Budget'!G36</f>
        <v>0</v>
      </c>
      <c r="H36" s="2">
        <f>'Year 4 Cash Budget'!H36</f>
        <v>0</v>
      </c>
      <c r="I36" s="2">
        <f>'Year 4 Cash Budget'!I36</f>
        <v>0</v>
      </c>
      <c r="J36" s="2">
        <f>'Year 4 Cash Budget'!J36</f>
        <v>0</v>
      </c>
      <c r="K36" s="2">
        <f>'Year 4 Cash Budget'!K36</f>
        <v>0</v>
      </c>
      <c r="L36" s="2">
        <f>'Year 4 Cash Budget'!L36</f>
        <v>0</v>
      </c>
      <c r="M36" s="2">
        <f>'Year 4 Cash Budget'!M36</f>
        <v>0</v>
      </c>
      <c r="N36" s="2">
        <f t="shared" si="5"/>
        <v>0</v>
      </c>
    </row>
    <row r="37" spans="1:14" x14ac:dyDescent="0.35">
      <c r="A37" t="s">
        <v>51</v>
      </c>
      <c r="B37" s="2">
        <f>'Year 4 Cash Budget'!B37</f>
        <v>5000</v>
      </c>
      <c r="C37" s="2">
        <f>'Year 4 Cash Budget'!C37</f>
        <v>5000</v>
      </c>
      <c r="D37" s="2">
        <f>'Year 4 Cash Budget'!D37</f>
        <v>5000</v>
      </c>
      <c r="E37" s="2">
        <f>'Year 4 Cash Budget'!E37</f>
        <v>5000</v>
      </c>
      <c r="F37" s="2">
        <f>'Year 4 Cash Budget'!F37</f>
        <v>5000</v>
      </c>
      <c r="G37" s="2">
        <f>'Year 4 Cash Budget'!G37</f>
        <v>5000</v>
      </c>
      <c r="H37" s="2">
        <f>'Year 4 Cash Budget'!H37</f>
        <v>5000</v>
      </c>
      <c r="I37" s="2">
        <f>'Year 4 Cash Budget'!I37</f>
        <v>5000</v>
      </c>
      <c r="J37" s="2">
        <f>'Year 4 Cash Budget'!J37</f>
        <v>5000</v>
      </c>
      <c r="K37" s="2">
        <f>'Year 4 Cash Budget'!K37</f>
        <v>5000</v>
      </c>
      <c r="L37" s="2">
        <f>'Year 4 Cash Budget'!L37</f>
        <v>5000</v>
      </c>
      <c r="M37" s="2">
        <f>'Year 4 Cash Budget'!M37</f>
        <v>5000</v>
      </c>
      <c r="N37" s="2">
        <f t="shared" si="5"/>
        <v>60000</v>
      </c>
    </row>
    <row r="38" spans="1:14" x14ac:dyDescent="0.35">
      <c r="A38" t="s">
        <v>88</v>
      </c>
      <c r="B38" s="2">
        <f t="shared" ref="B38:I38" si="6">SUM(B22:B37)</f>
        <v>5000</v>
      </c>
      <c r="C38" s="2">
        <f t="shared" si="6"/>
        <v>5000</v>
      </c>
      <c r="D38" s="2">
        <f t="shared" si="6"/>
        <v>5000</v>
      </c>
      <c r="E38" s="2">
        <f t="shared" si="6"/>
        <v>5000</v>
      </c>
      <c r="F38" s="2">
        <f t="shared" si="6"/>
        <v>5000</v>
      </c>
      <c r="G38" s="2">
        <f t="shared" si="6"/>
        <v>5000</v>
      </c>
      <c r="H38" s="2">
        <f t="shared" si="6"/>
        <v>5000</v>
      </c>
      <c r="I38" s="2">
        <f t="shared" si="6"/>
        <v>5000</v>
      </c>
      <c r="J38" s="2">
        <f>SUM(J22:J37)</f>
        <v>5000</v>
      </c>
      <c r="K38" s="2">
        <f t="shared" ref="K38:N38" si="7">SUM(K22:K37)</f>
        <v>5000</v>
      </c>
      <c r="L38" s="2">
        <f t="shared" si="7"/>
        <v>5000</v>
      </c>
      <c r="M38" s="2">
        <f t="shared" si="7"/>
        <v>5000</v>
      </c>
      <c r="N38" s="2">
        <f t="shared" si="7"/>
        <v>60000</v>
      </c>
    </row>
    <row r="39" spans="1:14" x14ac:dyDescent="0.3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35">
      <c r="A40" t="s">
        <v>40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>
        <f>SUM(B40:M40)</f>
        <v>0</v>
      </c>
    </row>
    <row r="41" spans="1:14" x14ac:dyDescent="0.35">
      <c r="A41" t="s">
        <v>86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>
        <f>SUM(B41:M41)</f>
        <v>0</v>
      </c>
    </row>
    <row r="42" spans="1:14" x14ac:dyDescent="0.35">
      <c r="A42" t="s">
        <v>44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>
        <f>SUM(B42:M42)</f>
        <v>0</v>
      </c>
    </row>
    <row r="43" spans="1:14" x14ac:dyDescent="0.35">
      <c r="A43" t="s">
        <v>49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>
        <f>SUM(B43:M43)</f>
        <v>0</v>
      </c>
    </row>
    <row r="44" spans="1:14" x14ac:dyDescent="0.35">
      <c r="A44" t="s">
        <v>89</v>
      </c>
      <c r="B44" s="2">
        <f t="shared" ref="B44:N44" si="8">SUM(B40:B43)</f>
        <v>0</v>
      </c>
      <c r="C44" s="2">
        <f t="shared" si="8"/>
        <v>0</v>
      </c>
      <c r="D44" s="2">
        <f t="shared" si="8"/>
        <v>0</v>
      </c>
      <c r="E44" s="2">
        <f t="shared" si="8"/>
        <v>0</v>
      </c>
      <c r="F44" s="2">
        <f t="shared" si="8"/>
        <v>0</v>
      </c>
      <c r="G44" s="2">
        <f t="shared" si="8"/>
        <v>0</v>
      </c>
      <c r="H44" s="2">
        <f t="shared" si="8"/>
        <v>0</v>
      </c>
      <c r="I44" s="2">
        <f t="shared" si="8"/>
        <v>0</v>
      </c>
      <c r="J44" s="2">
        <f t="shared" si="8"/>
        <v>0</v>
      </c>
      <c r="K44" s="2">
        <f t="shared" si="8"/>
        <v>0</v>
      </c>
      <c r="L44" s="2">
        <f t="shared" si="8"/>
        <v>0</v>
      </c>
      <c r="M44" s="2">
        <f t="shared" si="8"/>
        <v>0</v>
      </c>
      <c r="N44" s="2">
        <f t="shared" si="8"/>
        <v>0</v>
      </c>
    </row>
    <row r="45" spans="1:14" x14ac:dyDescent="0.3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35">
      <c r="A46" t="s">
        <v>90</v>
      </c>
      <c r="B46" s="2">
        <f t="shared" ref="B46:M46" si="9">B9+B14-B20-B38-B44+B16</f>
        <v>350793</v>
      </c>
      <c r="C46" s="2">
        <f t="shared" si="9"/>
        <v>360913</v>
      </c>
      <c r="D46" s="2">
        <f t="shared" si="9"/>
        <v>371293</v>
      </c>
      <c r="E46" s="2">
        <f t="shared" si="9"/>
        <v>381970.5</v>
      </c>
      <c r="F46" s="2">
        <f t="shared" si="9"/>
        <v>392940.5</v>
      </c>
      <c r="G46" s="2">
        <f t="shared" si="9"/>
        <v>404203</v>
      </c>
      <c r="H46" s="2">
        <f t="shared" si="9"/>
        <v>415795.5</v>
      </c>
      <c r="I46" s="2">
        <f t="shared" si="9"/>
        <v>427750.5</v>
      </c>
      <c r="J46" s="2">
        <f t="shared" si="9"/>
        <v>440063</v>
      </c>
      <c r="K46" s="2">
        <f t="shared" si="9"/>
        <v>452733</v>
      </c>
      <c r="L46" s="2">
        <f t="shared" si="9"/>
        <v>465798</v>
      </c>
      <c r="M46" s="2">
        <f t="shared" si="9"/>
        <v>479290.5</v>
      </c>
      <c r="N46" s="2"/>
    </row>
    <row r="47" spans="1:14" x14ac:dyDescent="0.3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4" x14ac:dyDescent="0.3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35">
      <c r="A49" t="s">
        <v>73</v>
      </c>
      <c r="B49" s="2">
        <f>B7</f>
        <v>22800</v>
      </c>
      <c r="C49" s="2">
        <f t="shared" ref="C49:M49" si="10">C7</f>
        <v>23200</v>
      </c>
      <c r="D49" s="2">
        <f t="shared" si="10"/>
        <v>23600</v>
      </c>
      <c r="E49" s="2">
        <f t="shared" si="10"/>
        <v>24050</v>
      </c>
      <c r="F49" s="2">
        <f t="shared" si="10"/>
        <v>24500</v>
      </c>
      <c r="G49" s="2">
        <f t="shared" si="10"/>
        <v>24950</v>
      </c>
      <c r="H49" s="2">
        <f t="shared" si="10"/>
        <v>25450</v>
      </c>
      <c r="I49" s="2">
        <f t="shared" si="10"/>
        <v>26000</v>
      </c>
      <c r="J49" s="2">
        <f t="shared" si="10"/>
        <v>26550</v>
      </c>
      <c r="K49" s="2">
        <f t="shared" si="10"/>
        <v>27100</v>
      </c>
      <c r="L49" s="2">
        <f t="shared" si="10"/>
        <v>27700</v>
      </c>
      <c r="M49" s="2">
        <f t="shared" si="10"/>
        <v>28350</v>
      </c>
    </row>
    <row r="50" spans="1:13" x14ac:dyDescent="0.3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x14ac:dyDescent="0.35">
      <c r="A51" t="s">
        <v>26</v>
      </c>
      <c r="B51" s="2">
        <f>B49*'Control Panel'!$B$11</f>
        <v>7979.9999999999991</v>
      </c>
      <c r="C51" s="2">
        <f>C49*'Control Panel'!$B$11</f>
        <v>8119.9999999999991</v>
      </c>
      <c r="D51" s="2">
        <f>D49*'Control Panel'!$B$11</f>
        <v>8260</v>
      </c>
      <c r="E51" s="2">
        <f>E49*'Control Panel'!$B$11</f>
        <v>8417.5</v>
      </c>
      <c r="F51" s="2">
        <f>F49*'Control Panel'!$B$11</f>
        <v>8575</v>
      </c>
      <c r="G51" s="2">
        <f>G49*'Control Panel'!$B$11</f>
        <v>8732.5</v>
      </c>
      <c r="H51" s="2">
        <f>H49*'Control Panel'!$B$11</f>
        <v>8907.5</v>
      </c>
      <c r="I51" s="2">
        <f>I49*'Control Panel'!$B$11</f>
        <v>9100</v>
      </c>
      <c r="J51" s="2">
        <f>J49*'Control Panel'!$B$11</f>
        <v>9292.5</v>
      </c>
      <c r="K51" s="2">
        <f>K49*'Control Panel'!$B$11</f>
        <v>9485</v>
      </c>
      <c r="L51" s="2">
        <f>L49*'Control Panel'!$B$11</f>
        <v>9695</v>
      </c>
      <c r="M51" s="2">
        <f>M49*'Control Panel'!$B$11</f>
        <v>9922.5</v>
      </c>
    </row>
    <row r="52" spans="1:13" x14ac:dyDescent="0.3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35">
      <c r="A53" t="s">
        <v>91</v>
      </c>
      <c r="B53" s="2">
        <f>B49-B51</f>
        <v>14820</v>
      </c>
      <c r="C53" s="2">
        <f t="shared" ref="C53:M53" si="11">C49-C51</f>
        <v>15080</v>
      </c>
      <c r="D53" s="2">
        <f t="shared" si="11"/>
        <v>15340</v>
      </c>
      <c r="E53" s="2">
        <f t="shared" si="11"/>
        <v>15632.5</v>
      </c>
      <c r="F53" s="2">
        <f t="shared" si="11"/>
        <v>15925</v>
      </c>
      <c r="G53" s="2">
        <f t="shared" si="11"/>
        <v>16217.5</v>
      </c>
      <c r="H53" s="2">
        <f t="shared" si="11"/>
        <v>16542.5</v>
      </c>
      <c r="I53" s="2">
        <f t="shared" si="11"/>
        <v>16900</v>
      </c>
      <c r="J53" s="2">
        <f t="shared" si="11"/>
        <v>17257.5</v>
      </c>
      <c r="K53" s="2">
        <f t="shared" si="11"/>
        <v>17615</v>
      </c>
      <c r="L53" s="2">
        <f t="shared" si="11"/>
        <v>18005</v>
      </c>
      <c r="M53" s="2">
        <f t="shared" si="11"/>
        <v>18427.5</v>
      </c>
    </row>
    <row r="54" spans="1:13" x14ac:dyDescent="0.3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x14ac:dyDescent="0.35">
      <c r="A55" t="s">
        <v>92</v>
      </c>
      <c r="B55" s="2">
        <f>B38</f>
        <v>5000</v>
      </c>
      <c r="C55" s="2">
        <f t="shared" ref="C55:M55" si="12">C38</f>
        <v>5000</v>
      </c>
      <c r="D55" s="2">
        <f t="shared" si="12"/>
        <v>5000</v>
      </c>
      <c r="E55" s="2">
        <f t="shared" si="12"/>
        <v>5000</v>
      </c>
      <c r="F55" s="2">
        <f t="shared" si="12"/>
        <v>5000</v>
      </c>
      <c r="G55" s="2">
        <f t="shared" si="12"/>
        <v>5000</v>
      </c>
      <c r="H55" s="2">
        <f t="shared" si="12"/>
        <v>5000</v>
      </c>
      <c r="I55" s="2">
        <f t="shared" si="12"/>
        <v>5000</v>
      </c>
      <c r="J55" s="2">
        <f t="shared" si="12"/>
        <v>5000</v>
      </c>
      <c r="K55" s="2">
        <f t="shared" si="12"/>
        <v>5000</v>
      </c>
      <c r="L55" s="2">
        <f t="shared" si="12"/>
        <v>5000</v>
      </c>
      <c r="M55" s="2">
        <f t="shared" si="12"/>
        <v>5000</v>
      </c>
    </row>
    <row r="56" spans="1:13" x14ac:dyDescent="0.3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x14ac:dyDescent="0.35">
      <c r="A57" t="s">
        <v>93</v>
      </c>
      <c r="B57" s="2">
        <f>B53-B55</f>
        <v>9820</v>
      </c>
      <c r="C57" s="2">
        <f t="shared" ref="C57:M57" si="13">C53-C55</f>
        <v>10080</v>
      </c>
      <c r="D57" s="2">
        <f t="shared" si="13"/>
        <v>10340</v>
      </c>
      <c r="E57" s="2">
        <f t="shared" si="13"/>
        <v>10632.5</v>
      </c>
      <c r="F57" s="2">
        <f t="shared" si="13"/>
        <v>10925</v>
      </c>
      <c r="G57" s="2">
        <f t="shared" si="13"/>
        <v>11217.5</v>
      </c>
      <c r="H57" s="2">
        <f t="shared" si="13"/>
        <v>11542.5</v>
      </c>
      <c r="I57" s="2">
        <f t="shared" si="13"/>
        <v>11900</v>
      </c>
      <c r="J57" s="2">
        <f t="shared" si="13"/>
        <v>12257.5</v>
      </c>
      <c r="K57" s="2">
        <f t="shared" si="13"/>
        <v>12615</v>
      </c>
      <c r="L57" s="2">
        <f t="shared" si="13"/>
        <v>13005</v>
      </c>
      <c r="M57" s="2">
        <f t="shared" si="13"/>
        <v>13427.5</v>
      </c>
    </row>
    <row r="59" spans="1:13" x14ac:dyDescent="0.35">
      <c r="A59" t="s">
        <v>94</v>
      </c>
      <c r="B59" s="3">
        <f>B57+'Year 4 Cash Budget'!M59</f>
        <v>224502.5</v>
      </c>
      <c r="C59" s="3">
        <f>B59+C57</f>
        <v>234582.5</v>
      </c>
      <c r="D59" s="3">
        <f t="shared" ref="D59:M59" si="14">C59+D57</f>
        <v>244922.5</v>
      </c>
      <c r="E59" s="3">
        <f t="shared" si="14"/>
        <v>255555</v>
      </c>
      <c r="F59" s="3">
        <f t="shared" si="14"/>
        <v>266480</v>
      </c>
      <c r="G59" s="3">
        <f t="shared" si="14"/>
        <v>277697.5</v>
      </c>
      <c r="H59" s="3">
        <f t="shared" si="14"/>
        <v>289240</v>
      </c>
      <c r="I59" s="3">
        <f t="shared" si="14"/>
        <v>301140</v>
      </c>
      <c r="J59" s="3">
        <f t="shared" si="14"/>
        <v>313397.5</v>
      </c>
      <c r="K59" s="3">
        <f t="shared" si="14"/>
        <v>326012.5</v>
      </c>
      <c r="L59" s="3">
        <f t="shared" si="14"/>
        <v>339017.5</v>
      </c>
      <c r="M59" s="3">
        <f t="shared" si="14"/>
        <v>352445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96B68-D6C0-4A41-B9FB-A9C798CB0070}">
  <dimension ref="A1:BI8"/>
  <sheetViews>
    <sheetView workbookViewId="0">
      <selection activeCell="F27" sqref="F27"/>
    </sheetView>
  </sheetViews>
  <sheetFormatPr baseColWidth="10" defaultColWidth="11" defaultRowHeight="15.5" x14ac:dyDescent="0.35"/>
  <cols>
    <col min="1" max="1" width="23.83203125" bestFit="1" customWidth="1"/>
  </cols>
  <sheetData>
    <row r="1" spans="1:61" x14ac:dyDescent="0.3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</row>
    <row r="2" spans="1:61" x14ac:dyDescent="0.35">
      <c r="A2" t="s">
        <v>10</v>
      </c>
    </row>
    <row r="3" spans="1:61" x14ac:dyDescent="0.35">
      <c r="A3" t="s">
        <v>154</v>
      </c>
      <c r="B3" s="2">
        <f>'Year 1 Cash Budget'!C46</f>
        <v>76812.5</v>
      </c>
      <c r="C3" s="2">
        <f>'Year 1 Cash Budget'!D46</f>
        <v>82087.5</v>
      </c>
      <c r="D3" s="2">
        <f>'Year 1 Cash Budget'!E46</f>
        <v>87395</v>
      </c>
      <c r="E3" s="2">
        <f>'Year 1 Cash Budget'!F46</f>
        <v>92697.5</v>
      </c>
      <c r="F3" s="2">
        <f>'Year 1 Cash Budget'!G46</f>
        <v>98037.5</v>
      </c>
      <c r="G3" s="2">
        <f>'Year 1 Cash Budget'!H46</f>
        <v>103410</v>
      </c>
      <c r="H3" s="2">
        <f>'Year 1 Cash Budget'!I46</f>
        <v>108815</v>
      </c>
      <c r="I3" s="2">
        <f>'Year 1 Cash Budget'!J46</f>
        <v>114252.5</v>
      </c>
      <c r="J3" s="2">
        <f>'Year 1 Cash Budget'!K46</f>
        <v>119722.5</v>
      </c>
      <c r="K3" s="2">
        <f>'Year 1 Cash Budget'!L46</f>
        <v>125225</v>
      </c>
      <c r="L3" s="2">
        <f>'Year 1 Cash Budget'!M46</f>
        <v>130760</v>
      </c>
      <c r="M3" s="2">
        <f>'Year 1 Cash Budget'!N46</f>
        <v>136365</v>
      </c>
      <c r="N3" s="2">
        <f>'Year 2 Cash Budget'!B46</f>
        <v>141997.5</v>
      </c>
      <c r="O3" s="2">
        <f>'Year 2 Cash Budget'!C46</f>
        <v>147662.5</v>
      </c>
      <c r="P3" s="2">
        <f>'Year 2 Cash Budget'!D46</f>
        <v>153397.5</v>
      </c>
      <c r="Q3" s="2">
        <f>'Year 2 Cash Budget'!E46</f>
        <v>159160</v>
      </c>
      <c r="R3" s="2">
        <f>'Year 2 Cash Budget'!F46</f>
        <v>164992.5</v>
      </c>
      <c r="S3" s="2">
        <f>'Year 2 Cash Budget'!G46</f>
        <v>170852.5</v>
      </c>
      <c r="T3" s="2">
        <f>'Year 2 Cash Budget'!H46</f>
        <v>176782.5</v>
      </c>
      <c r="U3" s="2">
        <f>'Year 2 Cash Budget'!I46</f>
        <v>182777.5</v>
      </c>
      <c r="V3" s="2">
        <f>'Year 2 Cash Budget'!J46</f>
        <v>188837.5</v>
      </c>
      <c r="W3" s="2">
        <f>'Year 2 Cash Budget'!K46</f>
        <v>194962.5</v>
      </c>
      <c r="X3" s="2">
        <f>'Year 2 Cash Budget'!L46</f>
        <v>201152.5</v>
      </c>
      <c r="Y3" s="2">
        <f>'Year 2 Cash Budget'!M46</f>
        <v>207407.5</v>
      </c>
      <c r="Z3" s="2">
        <f>'Year 3 Cash Budget'!B46</f>
        <v>199539</v>
      </c>
      <c r="AA3" s="2">
        <f>'Year 3 Cash Budget'!C46</f>
        <v>205961.5</v>
      </c>
      <c r="AB3" s="2">
        <f>'Year 3 Cash Budget'!D46</f>
        <v>212444</v>
      </c>
      <c r="AC3" s="2">
        <f>'Year 3 Cash Budget'!E46</f>
        <v>219029</v>
      </c>
      <c r="AD3" s="2">
        <f>'Year 3 Cash Budget'!F46</f>
        <v>225711.5</v>
      </c>
      <c r="AE3" s="2">
        <f>'Year 3 Cash Budget'!G46</f>
        <v>232491.5</v>
      </c>
      <c r="AF3" s="2">
        <f>'Year 3 Cash Budget'!H46</f>
        <v>239369</v>
      </c>
      <c r="AG3" s="2">
        <f>'Year 3 Cash Budget'!I46</f>
        <v>246344</v>
      </c>
      <c r="AH3" s="2">
        <f>'Year 3 Cash Budget'!J46</f>
        <v>253416.5</v>
      </c>
      <c r="AI3" s="2">
        <f>'Year 3 Cash Budget'!K46</f>
        <v>260624</v>
      </c>
      <c r="AJ3" s="2">
        <f>'Year 3 Cash Budget'!L46</f>
        <v>267961.5</v>
      </c>
      <c r="AK3" s="2">
        <f>'Year 3 Cash Budget'!M46</f>
        <v>275429</v>
      </c>
      <c r="AL3" s="2">
        <f>'Year 4 Cash Budget'!B46</f>
        <v>266621.5</v>
      </c>
      <c r="AM3" s="2">
        <f>'Year 4 Cash Budget'!C46</f>
        <v>274349</v>
      </c>
      <c r="AN3" s="2">
        <f>'Year 4 Cash Budget'!D46</f>
        <v>282244</v>
      </c>
      <c r="AO3" s="2">
        <f>'Year 4 Cash Budget'!E46</f>
        <v>290301.5</v>
      </c>
      <c r="AP3" s="2">
        <f>'Year 4 Cash Budget'!F46</f>
        <v>298521.5</v>
      </c>
      <c r="AQ3" s="2">
        <f>'Year 4 Cash Budget'!G46</f>
        <v>306904</v>
      </c>
      <c r="AR3" s="2">
        <f>'Year 4 Cash Budget'!H46</f>
        <v>315449</v>
      </c>
      <c r="AS3" s="2">
        <f>'Year 4 Cash Budget'!I46</f>
        <v>324194</v>
      </c>
      <c r="AT3" s="2">
        <f>'Year 4 Cash Budget'!J46</f>
        <v>333134</v>
      </c>
      <c r="AU3" s="2">
        <f>'Year 4 Cash Budget'!K46</f>
        <v>342306.5</v>
      </c>
      <c r="AV3" s="2">
        <f>'Year 4 Cash Budget'!L46</f>
        <v>351706.5</v>
      </c>
      <c r="AW3" s="2">
        <f>'Year 4 Cash Budget'!M46</f>
        <v>361334</v>
      </c>
      <c r="AX3" s="2">
        <f>'Year 5 Cash Budget'!B46</f>
        <v>350793</v>
      </c>
      <c r="AY3" s="2">
        <f>'Year 5 Cash Budget'!C46</f>
        <v>360913</v>
      </c>
      <c r="AZ3" s="2">
        <f>'Year 5 Cash Budget'!D46</f>
        <v>371293</v>
      </c>
      <c r="BA3" s="2">
        <f>'Year 5 Cash Budget'!E46</f>
        <v>381970.5</v>
      </c>
      <c r="BB3" s="2">
        <f>'Year 5 Cash Budget'!F46</f>
        <v>392940.5</v>
      </c>
      <c r="BC3" s="2">
        <f>'Year 5 Cash Budget'!G46</f>
        <v>404203</v>
      </c>
      <c r="BD3" s="2">
        <f>'Year 5 Cash Budget'!H46</f>
        <v>415795.5</v>
      </c>
      <c r="BE3" s="2">
        <f>'Year 5 Cash Budget'!I46</f>
        <v>427750.5</v>
      </c>
      <c r="BF3" s="2">
        <f>'Year 5 Cash Budget'!J46</f>
        <v>440063</v>
      </c>
      <c r="BG3" s="2">
        <f>'Year 5 Cash Budget'!K46</f>
        <v>452733</v>
      </c>
      <c r="BH3" s="2">
        <f>'Year 5 Cash Budget'!L46</f>
        <v>465798</v>
      </c>
      <c r="BI3" s="2">
        <f>'Year 5 Cash Budget'!M46</f>
        <v>479290.5</v>
      </c>
    </row>
    <row r="4" spans="1:61" x14ac:dyDescent="0.35">
      <c r="A4" t="s">
        <v>155</v>
      </c>
      <c r="B4" s="2">
        <f>B3-'Startup &amp; Pre-Opening Costs'!$B$29</f>
        <v>-108187.5</v>
      </c>
      <c r="C4" s="2">
        <f>C3-'Startup &amp; Pre-Opening Costs'!$B$29</f>
        <v>-102912.5</v>
      </c>
      <c r="D4" s="2">
        <f>D3-'Startup &amp; Pre-Opening Costs'!$B$29</f>
        <v>-97605</v>
      </c>
      <c r="E4" s="2">
        <f>E3-'Startup &amp; Pre-Opening Costs'!$B$29</f>
        <v>-92302.5</v>
      </c>
      <c r="F4" s="2">
        <f>F3-'Startup &amp; Pre-Opening Costs'!$B$29</f>
        <v>-86962.5</v>
      </c>
      <c r="G4" s="2">
        <f>G3-'Startup &amp; Pre-Opening Costs'!$B$29</f>
        <v>-81590</v>
      </c>
      <c r="H4" s="2">
        <f>H3-'Startup &amp; Pre-Opening Costs'!$B$29</f>
        <v>-76185</v>
      </c>
      <c r="I4" s="2">
        <f>I3-'Startup &amp; Pre-Opening Costs'!$B$29</f>
        <v>-70747.5</v>
      </c>
      <c r="J4" s="2">
        <f>J3-'Startup &amp; Pre-Opening Costs'!$B$29</f>
        <v>-65277.5</v>
      </c>
      <c r="K4" s="2">
        <f>K3-'Startup &amp; Pre-Opening Costs'!$B$29</f>
        <v>-59775</v>
      </c>
      <c r="L4" s="2">
        <f>L3-'Startup &amp; Pre-Opening Costs'!$B$29</f>
        <v>-54240</v>
      </c>
      <c r="M4" s="2">
        <f>M3-'Startup &amp; Pre-Opening Costs'!$B$29</f>
        <v>-48635</v>
      </c>
      <c r="N4" s="2">
        <f>N3-'Startup &amp; Pre-Opening Costs'!$B$29</f>
        <v>-43002.5</v>
      </c>
      <c r="O4" s="2">
        <f>O3-'Startup &amp; Pre-Opening Costs'!$B$29</f>
        <v>-37337.5</v>
      </c>
      <c r="P4" s="2">
        <f>P3-'Startup &amp; Pre-Opening Costs'!$B$29</f>
        <v>-31602.5</v>
      </c>
      <c r="Q4" s="2">
        <f>Q3-'Startup &amp; Pre-Opening Costs'!$B$29</f>
        <v>-25840</v>
      </c>
      <c r="R4" s="2">
        <f>R3-'Startup &amp; Pre-Opening Costs'!$B$29</f>
        <v>-20007.5</v>
      </c>
      <c r="S4" s="2">
        <f>S3-'Startup &amp; Pre-Opening Costs'!$B$29</f>
        <v>-14147.5</v>
      </c>
      <c r="T4" s="2">
        <f>T3-'Startup &amp; Pre-Opening Costs'!$B$29</f>
        <v>-8217.5</v>
      </c>
      <c r="U4" s="2">
        <f>U3-'Startup &amp; Pre-Opening Costs'!$B$29</f>
        <v>-2222.5</v>
      </c>
      <c r="V4" s="2">
        <f>V3-'Startup &amp; Pre-Opening Costs'!$B$29</f>
        <v>3837.5</v>
      </c>
      <c r="W4" s="2">
        <f>W3-'Startup &amp; Pre-Opening Costs'!$B$29</f>
        <v>9962.5</v>
      </c>
      <c r="X4" s="2">
        <f>X3-'Startup &amp; Pre-Opening Costs'!$B$29</f>
        <v>16152.5</v>
      </c>
      <c r="Y4" s="2">
        <f>Y3-'Startup &amp; Pre-Opening Costs'!$B$29</f>
        <v>22407.5</v>
      </c>
      <c r="Z4" s="2">
        <f>Z3-'Startup &amp; Pre-Opening Costs'!$B$29</f>
        <v>14539</v>
      </c>
      <c r="AA4" s="2">
        <f>AA3-'Startup &amp; Pre-Opening Costs'!$B$29</f>
        <v>20961.5</v>
      </c>
      <c r="AB4" s="2">
        <f>AB3-'Startup &amp; Pre-Opening Costs'!$B$29</f>
        <v>27444</v>
      </c>
      <c r="AC4" s="2">
        <f>AC3-'Startup &amp; Pre-Opening Costs'!$B$29</f>
        <v>34029</v>
      </c>
      <c r="AD4" s="2">
        <f>AD3-'Startup &amp; Pre-Opening Costs'!$B$29</f>
        <v>40711.5</v>
      </c>
      <c r="AE4" s="2">
        <f>AE3-'Startup &amp; Pre-Opening Costs'!$B$29</f>
        <v>47491.5</v>
      </c>
      <c r="AF4" s="2">
        <f>AF3-'Startup &amp; Pre-Opening Costs'!$B$29</f>
        <v>54369</v>
      </c>
      <c r="AG4" s="2">
        <f>AG3-'Startup &amp; Pre-Opening Costs'!$B$29</f>
        <v>61344</v>
      </c>
      <c r="AH4" s="2">
        <f>AH3-'Startup &amp; Pre-Opening Costs'!$B$29</f>
        <v>68416.5</v>
      </c>
      <c r="AI4" s="2">
        <f>AI3-'Startup &amp; Pre-Opening Costs'!$B$29</f>
        <v>75624</v>
      </c>
      <c r="AJ4" s="2">
        <f>AJ3-'Startup &amp; Pre-Opening Costs'!$B$29</f>
        <v>82961.5</v>
      </c>
      <c r="AK4" s="2">
        <f>AK3-'Startup &amp; Pre-Opening Costs'!$B$29</f>
        <v>90429</v>
      </c>
      <c r="AL4" s="2">
        <f>AL3-'Startup &amp; Pre-Opening Costs'!$B$29</f>
        <v>81621.5</v>
      </c>
      <c r="AM4" s="2">
        <f>AM3-'Startup &amp; Pre-Opening Costs'!$B$29</f>
        <v>89349</v>
      </c>
      <c r="AN4" s="2">
        <f>AN3-'Startup &amp; Pre-Opening Costs'!$B$29</f>
        <v>97244</v>
      </c>
      <c r="AO4" s="2">
        <f>AO3-'Startup &amp; Pre-Opening Costs'!$B$29</f>
        <v>105301.5</v>
      </c>
      <c r="AP4" s="2">
        <f>AP3-'Startup &amp; Pre-Opening Costs'!$B$29</f>
        <v>113521.5</v>
      </c>
      <c r="AQ4" s="2">
        <f>AQ3-'Startup &amp; Pre-Opening Costs'!$B$29</f>
        <v>121904</v>
      </c>
      <c r="AR4" s="2">
        <f>AR3-'Startup &amp; Pre-Opening Costs'!$B$29</f>
        <v>130449</v>
      </c>
      <c r="AS4" s="2">
        <f>AS3-'Startup &amp; Pre-Opening Costs'!$B$29</f>
        <v>139194</v>
      </c>
      <c r="AT4" s="2">
        <f>AT3-'Startup &amp; Pre-Opening Costs'!$B$29</f>
        <v>148134</v>
      </c>
      <c r="AU4" s="2">
        <f>AU3-'Startup &amp; Pre-Opening Costs'!$B$29</f>
        <v>157306.5</v>
      </c>
      <c r="AV4" s="2">
        <f>AV3-'Startup &amp; Pre-Opening Costs'!$B$29</f>
        <v>166706.5</v>
      </c>
      <c r="AW4" s="2">
        <f>AW3-'Startup &amp; Pre-Opening Costs'!$B$29</f>
        <v>176334</v>
      </c>
      <c r="AX4" s="2">
        <f>AX3-'Startup &amp; Pre-Opening Costs'!$B$29</f>
        <v>165793</v>
      </c>
      <c r="AY4" s="2">
        <f>AY3-'Startup &amp; Pre-Opening Costs'!$B$29</f>
        <v>175913</v>
      </c>
      <c r="AZ4" s="2">
        <f>AZ3-'Startup &amp; Pre-Opening Costs'!$B$29</f>
        <v>186293</v>
      </c>
      <c r="BA4" s="2">
        <f>BA3-'Startup &amp; Pre-Opening Costs'!$B$29</f>
        <v>196970.5</v>
      </c>
      <c r="BB4" s="2">
        <f>BB3-'Startup &amp; Pre-Opening Costs'!$B$29</f>
        <v>207940.5</v>
      </c>
      <c r="BC4" s="2">
        <f>BC3-'Startup &amp; Pre-Opening Costs'!$B$29</f>
        <v>219203</v>
      </c>
      <c r="BD4" s="2">
        <f>BD3-'Startup &amp; Pre-Opening Costs'!$B$29</f>
        <v>230795.5</v>
      </c>
      <c r="BE4" s="2">
        <f>BE3-'Startup &amp; Pre-Opening Costs'!$B$29</f>
        <v>242750.5</v>
      </c>
      <c r="BF4" s="2">
        <f>BF3-'Startup &amp; Pre-Opening Costs'!$B$29</f>
        <v>255063</v>
      </c>
      <c r="BG4" s="2">
        <f>BG3-'Startup &amp; Pre-Opening Costs'!$B$29</f>
        <v>267733</v>
      </c>
      <c r="BH4" s="2">
        <f>BH3-'Startup &amp; Pre-Opening Costs'!$B$29</f>
        <v>280798</v>
      </c>
      <c r="BI4" s="2">
        <f>BI3-'Startup &amp; Pre-Opening Costs'!$B$29</f>
        <v>294290.5</v>
      </c>
    </row>
    <row r="5" spans="1:61" x14ac:dyDescent="0.35">
      <c r="A5" t="s">
        <v>14</v>
      </c>
      <c r="B5" s="2"/>
      <c r="C5" s="2" t="str">
        <f>IF(AND(B4&lt;0,C4&gt;=0), "CBE","")</f>
        <v/>
      </c>
      <c r="D5" s="2" t="str">
        <f t="shared" ref="D5:BI5" si="0">IF(AND(C4&lt;0,D4&gt;=0), "CBE","")</f>
        <v/>
      </c>
      <c r="E5" s="2" t="str">
        <f t="shared" si="0"/>
        <v/>
      </c>
      <c r="F5" s="2" t="str">
        <f t="shared" si="0"/>
        <v/>
      </c>
      <c r="G5" s="2" t="str">
        <f t="shared" si="0"/>
        <v/>
      </c>
      <c r="H5" s="2" t="str">
        <f t="shared" si="0"/>
        <v/>
      </c>
      <c r="I5" s="2" t="str">
        <f t="shared" si="0"/>
        <v/>
      </c>
      <c r="J5" s="2" t="str">
        <f t="shared" si="0"/>
        <v/>
      </c>
      <c r="K5" s="2" t="str">
        <f t="shared" si="0"/>
        <v/>
      </c>
      <c r="L5" s="2" t="str">
        <f t="shared" si="0"/>
        <v/>
      </c>
      <c r="M5" s="2" t="str">
        <f t="shared" si="0"/>
        <v/>
      </c>
      <c r="N5" s="2" t="str">
        <f t="shared" si="0"/>
        <v/>
      </c>
      <c r="O5" s="2" t="str">
        <f t="shared" si="0"/>
        <v/>
      </c>
      <c r="P5" s="2" t="str">
        <f t="shared" si="0"/>
        <v/>
      </c>
      <c r="Q5" s="2" t="str">
        <f t="shared" si="0"/>
        <v/>
      </c>
      <c r="R5" s="2" t="str">
        <f t="shared" si="0"/>
        <v/>
      </c>
      <c r="S5" s="2" t="str">
        <f t="shared" si="0"/>
        <v/>
      </c>
      <c r="T5" s="2" t="str">
        <f t="shared" si="0"/>
        <v/>
      </c>
      <c r="U5" s="2" t="str">
        <f t="shared" si="0"/>
        <v/>
      </c>
      <c r="V5" s="2" t="str">
        <f t="shared" si="0"/>
        <v>CBE</v>
      </c>
      <c r="W5" s="2" t="str">
        <f t="shared" si="0"/>
        <v/>
      </c>
      <c r="X5" s="2" t="str">
        <f t="shared" si="0"/>
        <v/>
      </c>
      <c r="Y5" s="2" t="str">
        <f t="shared" si="0"/>
        <v/>
      </c>
      <c r="Z5" s="2" t="str">
        <f t="shared" si="0"/>
        <v/>
      </c>
      <c r="AA5" s="2" t="str">
        <f t="shared" si="0"/>
        <v/>
      </c>
      <c r="AB5" s="2" t="str">
        <f t="shared" si="0"/>
        <v/>
      </c>
      <c r="AC5" s="2" t="str">
        <f t="shared" si="0"/>
        <v/>
      </c>
      <c r="AD5" s="2" t="str">
        <f t="shared" si="0"/>
        <v/>
      </c>
      <c r="AE5" s="2" t="str">
        <f t="shared" si="0"/>
        <v/>
      </c>
      <c r="AF5" s="2" t="str">
        <f t="shared" si="0"/>
        <v/>
      </c>
      <c r="AG5" s="2" t="str">
        <f t="shared" si="0"/>
        <v/>
      </c>
      <c r="AH5" s="2" t="str">
        <f t="shared" si="0"/>
        <v/>
      </c>
      <c r="AI5" s="2" t="str">
        <f t="shared" si="0"/>
        <v/>
      </c>
      <c r="AJ5" s="2" t="str">
        <f t="shared" si="0"/>
        <v/>
      </c>
      <c r="AK5" s="2" t="str">
        <f t="shared" si="0"/>
        <v/>
      </c>
      <c r="AL5" s="2" t="str">
        <f t="shared" si="0"/>
        <v/>
      </c>
      <c r="AM5" s="2" t="str">
        <f t="shared" si="0"/>
        <v/>
      </c>
      <c r="AN5" s="2" t="str">
        <f t="shared" si="0"/>
        <v/>
      </c>
      <c r="AO5" s="2" t="str">
        <f t="shared" si="0"/>
        <v/>
      </c>
      <c r="AP5" s="2" t="str">
        <f t="shared" si="0"/>
        <v/>
      </c>
      <c r="AQ5" s="2" t="str">
        <f t="shared" si="0"/>
        <v/>
      </c>
      <c r="AR5" s="2" t="str">
        <f t="shared" si="0"/>
        <v/>
      </c>
      <c r="AS5" s="2" t="str">
        <f t="shared" si="0"/>
        <v/>
      </c>
      <c r="AT5" s="2" t="str">
        <f t="shared" si="0"/>
        <v/>
      </c>
      <c r="AU5" s="2" t="str">
        <f t="shared" si="0"/>
        <v/>
      </c>
      <c r="AV5" s="2" t="str">
        <f t="shared" si="0"/>
        <v/>
      </c>
      <c r="AW5" s="2" t="str">
        <f t="shared" si="0"/>
        <v/>
      </c>
      <c r="AX5" s="2" t="str">
        <f t="shared" si="0"/>
        <v/>
      </c>
      <c r="AY5" s="2" t="str">
        <f t="shared" si="0"/>
        <v/>
      </c>
      <c r="AZ5" s="2" t="str">
        <f t="shared" si="0"/>
        <v/>
      </c>
      <c r="BA5" s="2" t="str">
        <f t="shared" si="0"/>
        <v/>
      </c>
      <c r="BB5" s="2" t="str">
        <f t="shared" si="0"/>
        <v/>
      </c>
      <c r="BC5" s="2" t="str">
        <f t="shared" si="0"/>
        <v/>
      </c>
      <c r="BD5" s="2" t="str">
        <f t="shared" si="0"/>
        <v/>
      </c>
      <c r="BE5" s="2" t="str">
        <f t="shared" si="0"/>
        <v/>
      </c>
      <c r="BF5" s="2" t="str">
        <f t="shared" si="0"/>
        <v/>
      </c>
      <c r="BG5" s="2" t="str">
        <f t="shared" si="0"/>
        <v/>
      </c>
      <c r="BH5" s="2" t="str">
        <f t="shared" si="0"/>
        <v/>
      </c>
      <c r="BI5" s="2" t="str">
        <f t="shared" si="0"/>
        <v/>
      </c>
    </row>
    <row r="6" spans="1:61" x14ac:dyDescent="0.35">
      <c r="A6" t="s">
        <v>94</v>
      </c>
      <c r="B6" s="2">
        <f>'Year 1 Cash Budget'!C59</f>
        <v>-99762.5</v>
      </c>
      <c r="C6" s="2">
        <f>'Year 1 Cash Budget'!D59</f>
        <v>-94492.5</v>
      </c>
      <c r="D6" s="2">
        <f>'Year 1 Cash Budget'!E59</f>
        <v>-89190</v>
      </c>
      <c r="E6" s="2">
        <f>'Year 1 Cash Budget'!F59</f>
        <v>-83887.5</v>
      </c>
      <c r="F6" s="2">
        <f>'Year 1 Cash Budget'!G59</f>
        <v>-78552.5</v>
      </c>
      <c r="G6" s="2">
        <f>'Year 1 Cash Budget'!H59</f>
        <v>-73185</v>
      </c>
      <c r="H6" s="2">
        <f>'Year 1 Cash Budget'!I59</f>
        <v>-67785</v>
      </c>
      <c r="I6" s="2">
        <f>'Year 1 Cash Budget'!J59</f>
        <v>-62352.5</v>
      </c>
      <c r="J6" s="2">
        <f>'Year 1 Cash Budget'!K59</f>
        <v>-56887.5</v>
      </c>
      <c r="K6" s="2">
        <f>'Year 1 Cash Budget'!L59</f>
        <v>-51390</v>
      </c>
      <c r="L6" s="2">
        <f>'Year 1 Cash Budget'!M59</f>
        <v>-45860</v>
      </c>
      <c r="M6" s="2">
        <f>'Year 1 Cash Budget'!N59</f>
        <v>-40265</v>
      </c>
      <c r="N6" s="2">
        <f>'Year 2 Cash Budget'!B59</f>
        <v>-34637.5</v>
      </c>
      <c r="O6" s="2">
        <f>'Year 2 Cash Budget'!C59</f>
        <v>-28977.5</v>
      </c>
      <c r="P6" s="2">
        <f>'Year 2 Cash Budget'!D59</f>
        <v>-23252.5</v>
      </c>
      <c r="Q6" s="2">
        <f>'Year 2 Cash Budget'!E59</f>
        <v>-17495</v>
      </c>
      <c r="R6" s="2">
        <f>'Year 2 Cash Budget'!F59</f>
        <v>-11672.5</v>
      </c>
      <c r="S6" s="2">
        <f>'Year 2 Cash Budget'!G59</f>
        <v>-5817.5</v>
      </c>
      <c r="T6" s="2">
        <f>'Year 2 Cash Budget'!H59</f>
        <v>102.5</v>
      </c>
      <c r="U6" s="2">
        <f>'Year 2 Cash Budget'!I59</f>
        <v>6087.5</v>
      </c>
      <c r="V6" s="2">
        <f>'Year 2 Cash Budget'!J59</f>
        <v>12137.5</v>
      </c>
      <c r="W6" s="2">
        <f>'Year 2 Cash Budget'!K59</f>
        <v>18252.5</v>
      </c>
      <c r="X6" s="2">
        <f>'Year 2 Cash Budget'!L59</f>
        <v>24432.5</v>
      </c>
      <c r="Y6" s="2">
        <f>'Year 2 Cash Budget'!M59</f>
        <v>30677.5</v>
      </c>
      <c r="Z6" s="2">
        <f>'Year 3 Cash Budget'!B59</f>
        <v>36987.5</v>
      </c>
      <c r="AA6" s="2">
        <f>'Year 3 Cash Budget'!C59</f>
        <v>43395</v>
      </c>
      <c r="AB6" s="2">
        <f>'Year 3 Cash Budget'!D59</f>
        <v>49867.5</v>
      </c>
      <c r="AC6" s="2">
        <f>'Year 3 Cash Budget'!E59</f>
        <v>56437.5</v>
      </c>
      <c r="AD6" s="2">
        <f>'Year 3 Cash Budget'!F59</f>
        <v>63105</v>
      </c>
      <c r="AE6" s="2">
        <f>'Year 3 Cash Budget'!G59</f>
        <v>69870</v>
      </c>
      <c r="AF6" s="2">
        <f>'Year 3 Cash Budget'!H59</f>
        <v>76732.5</v>
      </c>
      <c r="AG6" s="2">
        <f>'Year 3 Cash Budget'!I59</f>
        <v>83692.5</v>
      </c>
      <c r="AH6" s="2">
        <f>'Year 3 Cash Budget'!J59</f>
        <v>90750</v>
      </c>
      <c r="AI6" s="2">
        <f>'Year 3 Cash Budget'!K59</f>
        <v>97937.5</v>
      </c>
      <c r="AJ6" s="2">
        <f>'Year 3 Cash Budget'!L59</f>
        <v>105255</v>
      </c>
      <c r="AK6" s="2">
        <f>'Year 3 Cash Budget'!M59</f>
        <v>112702.5</v>
      </c>
      <c r="AL6" s="2">
        <f>'Year 4 Cash Budget'!B59</f>
        <v>120280</v>
      </c>
      <c r="AM6" s="2">
        <f>'Year 4 Cash Budget'!C59</f>
        <v>127987.5</v>
      </c>
      <c r="AN6" s="2">
        <f>'Year 4 Cash Budget'!D59</f>
        <v>135857.5</v>
      </c>
      <c r="AO6" s="2">
        <f>'Year 4 Cash Budget'!E59</f>
        <v>143890</v>
      </c>
      <c r="AP6" s="2">
        <f>'Year 4 Cash Budget'!F59</f>
        <v>152085</v>
      </c>
      <c r="AQ6" s="2">
        <f>'Year 4 Cash Budget'!G59</f>
        <v>160442.5</v>
      </c>
      <c r="AR6" s="2">
        <f>'Year 4 Cash Budget'!H59</f>
        <v>168962.5</v>
      </c>
      <c r="AS6" s="2">
        <f>'Year 4 Cash Budget'!I59</f>
        <v>177677.5</v>
      </c>
      <c r="AT6" s="2">
        <f>'Year 4 Cash Budget'!J59</f>
        <v>186587.5</v>
      </c>
      <c r="AU6" s="2">
        <f>'Year 4 Cash Budget'!K59</f>
        <v>195725</v>
      </c>
      <c r="AV6" s="2">
        <f>'Year 4 Cash Budget'!L59</f>
        <v>205090</v>
      </c>
      <c r="AW6" s="2">
        <f>'Year 4 Cash Budget'!M59</f>
        <v>214682.5</v>
      </c>
      <c r="AX6" s="2">
        <f>'Year 5 Cash Budget'!B59</f>
        <v>224502.5</v>
      </c>
      <c r="AY6" s="2">
        <f>'Year 5 Cash Budget'!C59</f>
        <v>234582.5</v>
      </c>
      <c r="AZ6" s="2">
        <f>'Year 5 Cash Budget'!D59</f>
        <v>244922.5</v>
      </c>
      <c r="BA6" s="2">
        <f>'Year 5 Cash Budget'!E59</f>
        <v>255555</v>
      </c>
      <c r="BB6" s="2">
        <f>'Year 5 Cash Budget'!F59</f>
        <v>266480</v>
      </c>
      <c r="BC6" s="2">
        <f>'Year 5 Cash Budget'!G59</f>
        <v>277697.5</v>
      </c>
      <c r="BD6" s="2">
        <f>'Year 5 Cash Budget'!H59</f>
        <v>289240</v>
      </c>
      <c r="BE6" s="2">
        <f>'Year 5 Cash Budget'!I59</f>
        <v>301140</v>
      </c>
      <c r="BF6" s="2">
        <f>'Year 5 Cash Budget'!J59</f>
        <v>313397.5</v>
      </c>
      <c r="BG6" s="2">
        <f>'Year 5 Cash Budget'!K59</f>
        <v>326012.5</v>
      </c>
      <c r="BH6" s="2">
        <f>'Year 5 Cash Budget'!L59</f>
        <v>339017.5</v>
      </c>
      <c r="BI6" s="2">
        <f>'Year 5 Cash Budget'!M59</f>
        <v>352445</v>
      </c>
    </row>
    <row r="7" spans="1:61" x14ac:dyDescent="0.35">
      <c r="A7" t="s">
        <v>12</v>
      </c>
      <c r="B7" s="2"/>
      <c r="C7" s="2" t="str">
        <f>IF(AND(B6&lt;0,C6&gt;=0), "OBE","")</f>
        <v/>
      </c>
      <c r="D7" s="2" t="str">
        <f t="shared" ref="D7:BI7" si="1">IF(AND(C6&lt;0,D6&gt;=0), "OBE","")</f>
        <v/>
      </c>
      <c r="E7" s="2" t="str">
        <f t="shared" si="1"/>
        <v/>
      </c>
      <c r="F7" s="2" t="str">
        <f t="shared" si="1"/>
        <v/>
      </c>
      <c r="G7" s="2" t="str">
        <f t="shared" si="1"/>
        <v/>
      </c>
      <c r="H7" s="2" t="str">
        <f t="shared" si="1"/>
        <v/>
      </c>
      <c r="I7" s="2" t="str">
        <f t="shared" si="1"/>
        <v/>
      </c>
      <c r="J7" s="2" t="str">
        <f t="shared" si="1"/>
        <v/>
      </c>
      <c r="K7" s="2" t="str">
        <f t="shared" si="1"/>
        <v/>
      </c>
      <c r="L7" s="2" t="str">
        <f t="shared" si="1"/>
        <v/>
      </c>
      <c r="M7" s="2" t="str">
        <f t="shared" si="1"/>
        <v/>
      </c>
      <c r="N7" s="2" t="str">
        <f t="shared" si="1"/>
        <v/>
      </c>
      <c r="O7" s="2" t="str">
        <f t="shared" si="1"/>
        <v/>
      </c>
      <c r="P7" s="2" t="str">
        <f t="shared" si="1"/>
        <v/>
      </c>
      <c r="Q7" s="2" t="str">
        <f t="shared" si="1"/>
        <v/>
      </c>
      <c r="R7" s="2" t="str">
        <f t="shared" si="1"/>
        <v/>
      </c>
      <c r="S7" s="2" t="str">
        <f t="shared" si="1"/>
        <v/>
      </c>
      <c r="T7" s="2" t="str">
        <f t="shared" si="1"/>
        <v>OBE</v>
      </c>
      <c r="U7" s="2" t="str">
        <f t="shared" si="1"/>
        <v/>
      </c>
      <c r="V7" s="2" t="str">
        <f t="shared" si="1"/>
        <v/>
      </c>
      <c r="W7" s="2" t="str">
        <f t="shared" si="1"/>
        <v/>
      </c>
      <c r="X7" s="2" t="str">
        <f t="shared" si="1"/>
        <v/>
      </c>
      <c r="Y7" s="2" t="str">
        <f t="shared" si="1"/>
        <v/>
      </c>
      <c r="Z7" s="2" t="str">
        <f t="shared" si="1"/>
        <v/>
      </c>
      <c r="AA7" s="2" t="str">
        <f t="shared" si="1"/>
        <v/>
      </c>
      <c r="AB7" s="2" t="str">
        <f t="shared" si="1"/>
        <v/>
      </c>
      <c r="AC7" s="2" t="str">
        <f t="shared" si="1"/>
        <v/>
      </c>
      <c r="AD7" s="2" t="str">
        <f t="shared" si="1"/>
        <v/>
      </c>
      <c r="AE7" s="2" t="str">
        <f t="shared" si="1"/>
        <v/>
      </c>
      <c r="AF7" s="2" t="str">
        <f t="shared" si="1"/>
        <v/>
      </c>
      <c r="AG7" s="2" t="str">
        <f t="shared" si="1"/>
        <v/>
      </c>
      <c r="AH7" s="2" t="str">
        <f t="shared" si="1"/>
        <v/>
      </c>
      <c r="AI7" s="2" t="str">
        <f t="shared" si="1"/>
        <v/>
      </c>
      <c r="AJ7" s="2" t="str">
        <f t="shared" si="1"/>
        <v/>
      </c>
      <c r="AK7" s="2" t="str">
        <f t="shared" si="1"/>
        <v/>
      </c>
      <c r="AL7" s="2" t="str">
        <f t="shared" si="1"/>
        <v/>
      </c>
      <c r="AM7" s="2" t="str">
        <f t="shared" si="1"/>
        <v/>
      </c>
      <c r="AN7" s="2" t="str">
        <f t="shared" si="1"/>
        <v/>
      </c>
      <c r="AO7" s="2" t="str">
        <f t="shared" si="1"/>
        <v/>
      </c>
      <c r="AP7" s="2" t="str">
        <f t="shared" si="1"/>
        <v/>
      </c>
      <c r="AQ7" s="2" t="str">
        <f t="shared" si="1"/>
        <v/>
      </c>
      <c r="AR7" s="2" t="str">
        <f t="shared" si="1"/>
        <v/>
      </c>
      <c r="AS7" s="2" t="str">
        <f t="shared" si="1"/>
        <v/>
      </c>
      <c r="AT7" s="2" t="str">
        <f t="shared" si="1"/>
        <v/>
      </c>
      <c r="AU7" s="2" t="str">
        <f t="shared" si="1"/>
        <v/>
      </c>
      <c r="AV7" s="2" t="str">
        <f t="shared" si="1"/>
        <v/>
      </c>
      <c r="AW7" s="2" t="str">
        <f t="shared" si="1"/>
        <v/>
      </c>
      <c r="AX7" s="2" t="str">
        <f t="shared" si="1"/>
        <v/>
      </c>
      <c r="AY7" s="2" t="str">
        <f t="shared" si="1"/>
        <v/>
      </c>
      <c r="AZ7" s="2" t="str">
        <f t="shared" si="1"/>
        <v/>
      </c>
      <c r="BA7" s="2" t="str">
        <f t="shared" si="1"/>
        <v/>
      </c>
      <c r="BB7" s="2" t="str">
        <f t="shared" si="1"/>
        <v/>
      </c>
      <c r="BC7" s="2" t="str">
        <f t="shared" si="1"/>
        <v/>
      </c>
      <c r="BD7" s="2" t="str">
        <f t="shared" si="1"/>
        <v/>
      </c>
      <c r="BE7" s="2" t="str">
        <f t="shared" si="1"/>
        <v/>
      </c>
      <c r="BF7" s="2" t="str">
        <f t="shared" si="1"/>
        <v/>
      </c>
      <c r="BG7" s="2" t="str">
        <f t="shared" si="1"/>
        <v/>
      </c>
      <c r="BH7" s="2" t="str">
        <f t="shared" si="1"/>
        <v/>
      </c>
      <c r="BI7" s="2" t="str">
        <f t="shared" si="1"/>
        <v/>
      </c>
    </row>
    <row r="8" spans="1:61" x14ac:dyDescent="0.35">
      <c r="B8" s="3">
        <f>B1</f>
        <v>1</v>
      </c>
      <c r="C8" s="3">
        <f t="shared" ref="C8:BI8" si="2">C1</f>
        <v>2</v>
      </c>
      <c r="D8" s="3">
        <f t="shared" si="2"/>
        <v>3</v>
      </c>
      <c r="E8" s="3">
        <f t="shared" si="2"/>
        <v>4</v>
      </c>
      <c r="F8" s="3">
        <f t="shared" si="2"/>
        <v>5</v>
      </c>
      <c r="G8" s="3">
        <f t="shared" si="2"/>
        <v>6</v>
      </c>
      <c r="H8" s="3">
        <f t="shared" si="2"/>
        <v>7</v>
      </c>
      <c r="I8" s="3">
        <f t="shared" si="2"/>
        <v>8</v>
      </c>
      <c r="J8" s="3">
        <f t="shared" si="2"/>
        <v>9</v>
      </c>
      <c r="K8" s="3">
        <f t="shared" si="2"/>
        <v>10</v>
      </c>
      <c r="L8" s="3">
        <f t="shared" si="2"/>
        <v>11</v>
      </c>
      <c r="M8" s="3">
        <f t="shared" si="2"/>
        <v>12</v>
      </c>
      <c r="N8" s="3">
        <f t="shared" si="2"/>
        <v>13</v>
      </c>
      <c r="O8" s="3">
        <f t="shared" si="2"/>
        <v>14</v>
      </c>
      <c r="P8" s="3">
        <f t="shared" si="2"/>
        <v>15</v>
      </c>
      <c r="Q8" s="3">
        <f t="shared" si="2"/>
        <v>16</v>
      </c>
      <c r="R8" s="3">
        <f t="shared" si="2"/>
        <v>17</v>
      </c>
      <c r="S8" s="3">
        <f t="shared" si="2"/>
        <v>18</v>
      </c>
      <c r="T8" s="3">
        <f t="shared" si="2"/>
        <v>19</v>
      </c>
      <c r="U8" s="3">
        <f t="shared" si="2"/>
        <v>20</v>
      </c>
      <c r="V8" s="3">
        <f t="shared" si="2"/>
        <v>21</v>
      </c>
      <c r="W8" s="3">
        <f t="shared" si="2"/>
        <v>22</v>
      </c>
      <c r="X8" s="3">
        <f t="shared" si="2"/>
        <v>23</v>
      </c>
      <c r="Y8" s="3">
        <f t="shared" si="2"/>
        <v>24</v>
      </c>
      <c r="Z8" s="3">
        <f t="shared" si="2"/>
        <v>25</v>
      </c>
      <c r="AA8" s="3">
        <f t="shared" si="2"/>
        <v>26</v>
      </c>
      <c r="AB8" s="3">
        <f t="shared" si="2"/>
        <v>27</v>
      </c>
      <c r="AC8" s="3">
        <f t="shared" si="2"/>
        <v>28</v>
      </c>
      <c r="AD8" s="3">
        <f t="shared" si="2"/>
        <v>29</v>
      </c>
      <c r="AE8" s="3">
        <f t="shared" si="2"/>
        <v>30</v>
      </c>
      <c r="AF8" s="3">
        <f t="shared" si="2"/>
        <v>31</v>
      </c>
      <c r="AG8" s="3">
        <f t="shared" si="2"/>
        <v>32</v>
      </c>
      <c r="AH8" s="3">
        <f t="shared" si="2"/>
        <v>33</v>
      </c>
      <c r="AI8" s="3">
        <f t="shared" si="2"/>
        <v>34</v>
      </c>
      <c r="AJ8" s="3">
        <f t="shared" si="2"/>
        <v>35</v>
      </c>
      <c r="AK8" s="3">
        <f t="shared" si="2"/>
        <v>36</v>
      </c>
      <c r="AL8" s="3">
        <f t="shared" si="2"/>
        <v>37</v>
      </c>
      <c r="AM8" s="3">
        <f t="shared" si="2"/>
        <v>38</v>
      </c>
      <c r="AN8" s="3">
        <f t="shared" si="2"/>
        <v>39</v>
      </c>
      <c r="AO8" s="3">
        <f t="shared" si="2"/>
        <v>40</v>
      </c>
      <c r="AP8" s="3">
        <f t="shared" si="2"/>
        <v>41</v>
      </c>
      <c r="AQ8" s="3">
        <f t="shared" si="2"/>
        <v>42</v>
      </c>
      <c r="AR8" s="3">
        <f t="shared" si="2"/>
        <v>43</v>
      </c>
      <c r="AS8" s="3">
        <f t="shared" si="2"/>
        <v>44</v>
      </c>
      <c r="AT8" s="3">
        <f t="shared" si="2"/>
        <v>45</v>
      </c>
      <c r="AU8" s="3">
        <f t="shared" si="2"/>
        <v>46</v>
      </c>
      <c r="AV8" s="3">
        <f t="shared" si="2"/>
        <v>47</v>
      </c>
      <c r="AW8" s="3">
        <f t="shared" si="2"/>
        <v>48</v>
      </c>
      <c r="AX8" s="3">
        <f t="shared" si="2"/>
        <v>49</v>
      </c>
      <c r="AY8" s="3">
        <f t="shared" si="2"/>
        <v>50</v>
      </c>
      <c r="AZ8" s="3">
        <f t="shared" si="2"/>
        <v>51</v>
      </c>
      <c r="BA8" s="3">
        <f t="shared" si="2"/>
        <v>52</v>
      </c>
      <c r="BB8" s="3">
        <f t="shared" si="2"/>
        <v>53</v>
      </c>
      <c r="BC8" s="3">
        <f t="shared" si="2"/>
        <v>54</v>
      </c>
      <c r="BD8" s="3">
        <f t="shared" si="2"/>
        <v>55</v>
      </c>
      <c r="BE8" s="3">
        <f t="shared" si="2"/>
        <v>56</v>
      </c>
      <c r="BF8" s="3">
        <f t="shared" si="2"/>
        <v>57</v>
      </c>
      <c r="BG8" s="3">
        <f t="shared" si="2"/>
        <v>58</v>
      </c>
      <c r="BH8" s="3">
        <f t="shared" si="2"/>
        <v>59</v>
      </c>
      <c r="BI8" s="3">
        <f t="shared" si="2"/>
        <v>60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f85842f-7538-4ba5-a87d-8cd9b60f16c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596900849B5C4E857A850726EE33CF" ma:contentTypeVersion="16" ma:contentTypeDescription="Create a new document." ma:contentTypeScope="" ma:versionID="6e4444d5cdf403f755973939ffe325b1">
  <xsd:schema xmlns:xsd="http://www.w3.org/2001/XMLSchema" xmlns:xs="http://www.w3.org/2001/XMLSchema" xmlns:p="http://schemas.microsoft.com/office/2006/metadata/properties" xmlns:ns3="494c1081-cb5d-43d0-a4e9-8ce07f668dd0" xmlns:ns4="cf85842f-7538-4ba5-a87d-8cd9b60f16c1" targetNamespace="http://schemas.microsoft.com/office/2006/metadata/properties" ma:root="true" ma:fieldsID="5525782664920e6e9a66f0397c57b9b9" ns3:_="" ns4:_="">
    <xsd:import namespace="494c1081-cb5d-43d0-a4e9-8ce07f668dd0"/>
    <xsd:import namespace="cf85842f-7538-4ba5-a87d-8cd9b60f16c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Location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4c1081-cb5d-43d0-a4e9-8ce07f668dd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85842f-7538-4ba5-a87d-8cd9b60f16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D118D5-8FAD-4230-A731-B0A209B4FB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4BDC75-A20B-4416-832F-E83671D96011}">
  <ds:schemaRefs>
    <ds:schemaRef ds:uri="http://schemas.microsoft.com/office/2006/metadata/properties"/>
    <ds:schemaRef ds:uri="http://schemas.microsoft.com/office/infopath/2007/PartnerControls"/>
    <ds:schemaRef ds:uri="cf85842f-7538-4ba5-a87d-8cd9b60f16c1"/>
  </ds:schemaRefs>
</ds:datastoreItem>
</file>

<file path=customXml/itemProps3.xml><?xml version="1.0" encoding="utf-8"?>
<ds:datastoreItem xmlns:ds="http://schemas.openxmlformats.org/officeDocument/2006/customXml" ds:itemID="{758D80E6-F9D4-4FCD-9071-8E9F19C3D7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4c1081-cb5d-43d0-a4e9-8ce07f668dd0"/>
    <ds:schemaRef ds:uri="cf85842f-7538-4ba5-a87d-8cd9b60f16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Performance Dashboard</vt:lpstr>
      <vt:lpstr>Control Panel</vt:lpstr>
      <vt:lpstr>Startup &amp; Pre-Opening Costs</vt:lpstr>
      <vt:lpstr>Year 1 Cash Budget</vt:lpstr>
      <vt:lpstr>Financial Statements</vt:lpstr>
      <vt:lpstr>Year 2 Cash Budget</vt:lpstr>
      <vt:lpstr>Year 3 Cash Budget</vt:lpstr>
      <vt:lpstr>Year 4 Cash Budget</vt:lpstr>
      <vt:lpstr>Year 5 Cash Budget</vt:lpstr>
      <vt:lpstr>Balances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Olaf Pick</cp:lastModifiedBy>
  <cp:revision/>
  <dcterms:created xsi:type="dcterms:W3CDTF">2019-04-03T08:51:39Z</dcterms:created>
  <dcterms:modified xsi:type="dcterms:W3CDTF">2026-03-15T15:21:00Z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0x010100AD596900849B5C4E857A850726EE33CF</vt:lpwstr>
  </property>
</Properties>
</file>