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Annual" sheetId="2" state="visible" r:id="rId2"/>
    <sheet name="BalanceSheet" sheetId="3" state="visible" r:id="rId3"/>
    <sheet name="Grafiken" sheetId="4" state="visible" r:id="rId4"/>
    <sheet name="Investor_Slides" sheetId="5" state="visible" r:id="rId5"/>
    <sheet name="Daten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;[Red]-#,##0 &quot;€&quot;"/>
    <numFmt numFmtId="165" formatCode="0.0%"/>
    <numFmt numFmtId="166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C00000"/>
      <sz val="10"/>
    </font>
    <font>
      <name val="Calibri"/>
      <i val="1"/>
      <color rgb="00595959"/>
      <sz val="9"/>
    </font>
    <font>
      <name val="Calibri"/>
      <b val="1"/>
      <color rgb="001F4E79"/>
      <sz val="14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color rgb="00404040"/>
      <sz val="10"/>
    </font>
    <font>
      <name val="Calibri"/>
      <b val="1"/>
      <color rgb="001F4E79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4">
    <border>
      <left/>
      <right/>
      <top/>
      <bottom/>
      <diagonal/>
    </border>
    <border>
      <bottom style="medium">
        <color rgb="00FFFFFF"/>
      </bottom>
    </border>
    <border>
      <left style="thin">
        <color rgb="00BDD7EE"/>
      </left>
      <right style="thin">
        <color rgb="00BDD7EE"/>
      </right>
      <bottom style="thin">
        <color rgb="00BDD7EE"/>
      </bottom>
    </border>
    <border>
      <left/>
      <right/>
      <top/>
      <bottom style="medium">
        <color rgb="00FFFFF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166" fontId="3" fillId="3" borderId="2" applyAlignment="1" pivotButton="0" quotePrefix="0" xfId="0">
      <alignment horizontal="right" vertical="center"/>
    </xf>
    <xf numFmtId="3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165" fontId="2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166" fontId="2" fillId="4" borderId="2" applyAlignment="1" pivotButton="0" quotePrefix="0" xfId="0">
      <alignment horizontal="right" vertical="center"/>
    </xf>
    <xf numFmtId="3" fontId="2" fillId="4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 vertical="center"/>
    </xf>
    <xf numFmtId="164" fontId="2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165" fontId="2" fillId="5" borderId="2" applyAlignment="1" pivotButton="0" quotePrefix="0" xfId="0">
      <alignment horizontal="right" vertical="center"/>
    </xf>
    <xf numFmtId="166" fontId="2" fillId="5" borderId="2" applyAlignment="1" pivotButton="0" quotePrefix="0" xfId="0">
      <alignment horizontal="right" vertical="center"/>
    </xf>
    <xf numFmtId="3" fontId="2" fillId="5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1" fillId="2" borderId="1" pivotButton="0" quotePrefix="0" xfId="0"/>
    <xf numFmtId="164" fontId="1" fillId="2" borderId="1" applyAlignment="1" pivotButton="0" quotePrefix="0" xfId="0">
      <alignment horizontal="right" vertical="center"/>
    </xf>
    <xf numFmtId="165" fontId="1" fillId="2" borderId="1" pivotButton="0" quotePrefix="0" xfId="0"/>
    <xf numFmtId="166" fontId="1" fillId="2" borderId="1" applyAlignment="1" pivotButton="0" quotePrefix="0" xfId="0">
      <alignment horizontal="right" vertical="center"/>
    </xf>
    <xf numFmtId="3" fontId="1" fillId="2" borderId="1" applyAlignment="1" pivotButton="0" quotePrefix="0" xfId="0">
      <alignment horizontal="right" vertical="center"/>
    </xf>
    <xf numFmtId="1" fontId="2" fillId="4" borderId="2" applyAlignment="1" pivotButton="0" quotePrefix="0" xfId="0">
      <alignment horizontal="left" vertical="center"/>
    </xf>
    <xf numFmtId="3" fontId="2" fillId="4" borderId="2" applyAlignment="1" pivotButton="0" quotePrefix="0" xfId="0">
      <alignment horizontal="left" vertical="center"/>
    </xf>
    <xf numFmtId="2" fontId="2" fillId="4" borderId="2" applyAlignment="1" pivotButton="0" quotePrefix="0" xfId="0">
      <alignment horizontal="right" vertical="center"/>
    </xf>
    <xf numFmtId="1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left" vertical="center"/>
    </xf>
    <xf numFmtId="2" fontId="2" fillId="5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0" fillId="0" borderId="3" pivotButton="0" quotePrefix="0" xfId="0"/>
    <xf numFmtId="0" fontId="9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10" fillId="4" borderId="2" applyAlignment="1" pivotButton="0" quotePrefix="0" xfId="0">
      <alignment horizontal="left" vertical="top" wrapText="1"/>
    </xf>
    <xf numFmtId="0" fontId="11" fillId="4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11" fillId="5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Monatlicher Umsatz &amp; EBITDA (M1–M52)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'Monthly'!C1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'Monthly'!$A$2:$A$53</f>
            </numRef>
          </cat>
          <val>
            <numRef>
              <f>'Monthly'!$C$2:$C$53</f>
            </numRef>
          </val>
        </ser>
        <ser>
          <idx val="1"/>
          <order val="1"/>
          <tx>
            <strRef>
              <f>'Monthly'!L1</f>
            </strRef>
          </tx>
          <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spPr>
          <cat>
            <numRef>
              <f>'Monthly'!$A$2:$A$53</f>
            </numRef>
          </cat>
          <val>
            <numRef>
              <f>'Monthly'!$L$2:$L$53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Cash-Bestand &amp; Burn Rate (M1–M52)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'Monthly'!P1</f>
            </strRef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'Monthly'!$P$2:$P$53</f>
            </numRef>
          </val>
        </ser>
        <ser>
          <idx val="1"/>
          <order val="1"/>
          <tx>
            <strRef>
              <f>'Monthly'!Q1</f>
            </strRef>
          </tx>
          <spPr>
            <a:ln w="15000"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'Monthly'!$Q$2:$Q$53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Jahres-P&amp;L Übersicht (2026–2030)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'Annual'!C1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'Annual'!$C$2:$C$7</f>
            </numRef>
          </val>
        </ser>
        <ser>
          <idx val="1"/>
          <order val="1"/>
          <tx>
            <strRef>
              <f>'Annual'!E1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'Annual'!$E$2:$E$7</f>
            </numRef>
          </val>
        </ser>
        <ser>
          <idx val="2"/>
          <order val="2"/>
          <tx>
            <strRef>
              <f>'Annual'!G1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'Annual'!$G$2:$G$7</f>
            </numRef>
          </val>
        </ser>
        <ser>
          <idx val="3"/>
          <order val="3"/>
          <tx>
            <strRef>
              <f>'Annual'!H1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'Annual'!$H$2:$H$7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Jahr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Headcount-Entwicklung (M1–M52)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'Monthly'!S1</f>
            </strRef>
          </tx>
          <spPr>
            <a:ln w="20000"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'Monthly'!$S$2:$S$53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Mitarbeiter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30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0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30</row>
      <rowOff>0</rowOff>
    </from>
    <ext cx="79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U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5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15" customWidth="1" min="15" max="15"/>
    <col width="16" customWidth="1" min="16" max="16"/>
    <col width="13" customWidth="1" min="17" max="17"/>
    <col width="14" customWidth="1" min="18" max="18"/>
    <col width="11" customWidth="1" min="19" max="19"/>
    <col width="16" customWidth="1" min="20" max="20"/>
    <col width="16" customWidth="1" min="21" max="21"/>
  </cols>
  <sheetData>
    <row r="1" ht="36" customHeight="1">
      <c r="A1" s="1" t="inlineStr">
        <is>
          <t>Monat</t>
        </is>
      </c>
      <c r="B1" s="1" t="inlineStr">
        <is>
          <t>Phase</t>
        </is>
      </c>
      <c r="C1" s="1" t="inlineStr">
        <is>
          <t>Revenue €</t>
        </is>
      </c>
      <c r="D1" s="1" t="inlineStr">
        <is>
          <t>MRR €</t>
        </is>
      </c>
      <c r="E1" s="1" t="inlineStr">
        <is>
          <t>Impl.-Support €</t>
        </is>
      </c>
      <c r="F1" s="1" t="inlineStr">
        <is>
          <t>COGS €</t>
        </is>
      </c>
      <c r="G1" s="1" t="inlineStr">
        <is>
          <t>Gross Profit €</t>
        </is>
      </c>
      <c r="H1" s="1" t="inlineStr">
        <is>
          <t>Gross Margin %</t>
        </is>
      </c>
      <c r="I1" s="1" t="inlineStr">
        <is>
          <t>Personal €</t>
        </is>
      </c>
      <c r="J1" s="1" t="inlineStr">
        <is>
          <t>IT &amp; Technik €</t>
        </is>
      </c>
      <c r="K1" s="1" t="inlineStr">
        <is>
          <t>Total OpEx €</t>
        </is>
      </c>
      <c r="L1" s="1" t="inlineStr">
        <is>
          <t>EBITDA €</t>
        </is>
      </c>
      <c r="M1" s="1" t="inlineStr">
        <is>
          <t>EBITDA Margin %</t>
        </is>
      </c>
      <c r="N1" s="1" t="inlineStr">
        <is>
          <t>Equity-Zufluss €</t>
        </is>
      </c>
      <c r="O1" s="1" t="inlineStr">
        <is>
          <t>Eröffnungssaldo €</t>
        </is>
      </c>
      <c r="P1" s="1" t="inlineStr">
        <is>
          <t>Schlussstand Cash €</t>
        </is>
      </c>
      <c r="Q1" s="1" t="inlineStr">
        <is>
          <t>Burn Rate €</t>
        </is>
      </c>
      <c r="R1" s="1" t="inlineStr">
        <is>
          <t>Runway (Monate)</t>
        </is>
      </c>
      <c r="S1" s="1" t="inlineStr">
        <is>
          <t>Headcount</t>
        </is>
      </c>
      <c r="T1" s="1" t="inlineStr">
        <is>
          <t>Kum. Eigenkapital €</t>
        </is>
      </c>
      <c r="U1" s="1" t="inlineStr">
        <is>
          <t>Kum. Net Income €</t>
        </is>
      </c>
    </row>
    <row r="2" ht="16" customHeight="1">
      <c r="A2" s="2" t="inlineStr">
        <is>
          <t>Apr 2026</t>
        </is>
      </c>
      <c r="B2" s="2" t="inlineStr">
        <is>
          <t>Ideation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4" t="n">
        <v>0</v>
      </c>
      <c r="I2" s="3" t="n">
        <v>0</v>
      </c>
      <c r="J2" s="3" t="n">
        <v>0</v>
      </c>
      <c r="K2" s="3" t="n">
        <v>2075.333333333333</v>
      </c>
      <c r="L2" s="5" t="n">
        <v>-2075.33</v>
      </c>
      <c r="M2" s="4" t="n">
        <v>0</v>
      </c>
      <c r="N2" s="3" t="n">
        <v>0</v>
      </c>
      <c r="O2" s="3" t="n">
        <v>0</v>
      </c>
      <c r="P2" s="5" t="n">
        <v>-2075.33</v>
      </c>
      <c r="Q2" s="3" t="n">
        <v>2075.333333333333</v>
      </c>
      <c r="R2" s="6" t="n">
        <v>-1</v>
      </c>
      <c r="S2" s="7" t="n">
        <v>3</v>
      </c>
      <c r="T2" s="3" t="n">
        <v>0</v>
      </c>
      <c r="U2" s="5" t="n">
        <v>-2075.33</v>
      </c>
    </row>
    <row r="3" ht="16" customHeight="1">
      <c r="A3" s="2" t="inlineStr">
        <is>
          <t>Mai 2026</t>
        </is>
      </c>
      <c r="B3" s="2" t="inlineStr">
        <is>
          <t>Ideation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4" t="n">
        <v>0</v>
      </c>
      <c r="I3" s="3" t="n">
        <v>0</v>
      </c>
      <c r="J3" s="3" t="n">
        <v>0</v>
      </c>
      <c r="K3" s="3" t="n">
        <v>2075.333333333333</v>
      </c>
      <c r="L3" s="5" t="n">
        <v>-2075.33</v>
      </c>
      <c r="M3" s="4" t="n">
        <v>0</v>
      </c>
      <c r="N3" s="3" t="n">
        <v>0</v>
      </c>
      <c r="O3" s="5" t="n">
        <v>-2075.33</v>
      </c>
      <c r="P3" s="5" t="n">
        <v>-4150.67</v>
      </c>
      <c r="Q3" s="3" t="n">
        <v>2075.333333333333</v>
      </c>
      <c r="R3" s="6" t="n">
        <v>-2</v>
      </c>
      <c r="S3" s="7" t="n">
        <v>3</v>
      </c>
      <c r="T3" s="3" t="n">
        <v>0</v>
      </c>
      <c r="U3" s="5" t="n">
        <v>-4150.67</v>
      </c>
    </row>
    <row r="4" ht="16" customHeight="1">
      <c r="A4" s="2" t="inlineStr">
        <is>
          <t>Jun 2026</t>
        </is>
      </c>
      <c r="B4" s="2" t="inlineStr">
        <is>
          <t>Ideation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4" t="n">
        <v>0</v>
      </c>
      <c r="I4" s="3" t="n">
        <v>0</v>
      </c>
      <c r="J4" s="3" t="n">
        <v>0</v>
      </c>
      <c r="K4" s="3" t="n">
        <v>2075.333333333333</v>
      </c>
      <c r="L4" s="5" t="n">
        <v>-2075.33</v>
      </c>
      <c r="M4" s="4" t="n">
        <v>0</v>
      </c>
      <c r="N4" s="3" t="n">
        <v>0</v>
      </c>
      <c r="O4" s="5" t="n">
        <v>-4150.67</v>
      </c>
      <c r="P4" s="5" t="n">
        <v>-6226</v>
      </c>
      <c r="Q4" s="3" t="n">
        <v>2075.333333333333</v>
      </c>
      <c r="R4" s="6" t="n">
        <v>-3</v>
      </c>
      <c r="S4" s="7" t="n">
        <v>3</v>
      </c>
      <c r="T4" s="3" t="n">
        <v>0</v>
      </c>
      <c r="U4" s="5" t="n">
        <v>-6226</v>
      </c>
    </row>
    <row r="5" ht="16" customHeight="1">
      <c r="A5" s="8" t="inlineStr">
        <is>
          <t>Jul 2026</t>
        </is>
      </c>
      <c r="B5" s="8" t="inlineStr">
        <is>
          <t>Ideation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10" t="n">
        <v>0</v>
      </c>
      <c r="I5" s="9" t="n">
        <v>0</v>
      </c>
      <c r="J5" s="9" t="n">
        <v>0</v>
      </c>
      <c r="K5" s="9" t="n">
        <v>2075.333333333333</v>
      </c>
      <c r="L5" s="11" t="n">
        <v>-2075.33</v>
      </c>
      <c r="M5" s="10" t="n">
        <v>0</v>
      </c>
      <c r="N5" s="9" t="n">
        <v>320000</v>
      </c>
      <c r="O5" s="11" t="n">
        <v>-6226</v>
      </c>
      <c r="P5" s="9" t="n">
        <v>311698.67</v>
      </c>
      <c r="Q5" s="9" t="n">
        <v>0</v>
      </c>
      <c r="R5" s="12" t="n">
        <v>99.90000000000001</v>
      </c>
      <c r="S5" s="13" t="n">
        <v>3</v>
      </c>
      <c r="T5" s="9" t="n">
        <v>320000</v>
      </c>
      <c r="U5" s="11" t="n">
        <v>-8301.33</v>
      </c>
    </row>
    <row r="6" ht="16" customHeight="1">
      <c r="A6" s="14" t="inlineStr">
        <is>
          <t>Aug 2026</t>
        </is>
      </c>
      <c r="B6" s="14" t="inlineStr">
        <is>
          <t>Pre-Seed</t>
        </is>
      </c>
      <c r="C6" s="15" t="n">
        <v>0</v>
      </c>
      <c r="D6" s="15" t="n">
        <v>0</v>
      </c>
      <c r="E6" s="15" t="n">
        <v>0</v>
      </c>
      <c r="F6" s="15" t="n">
        <v>300</v>
      </c>
      <c r="G6" s="16" t="n">
        <v>-300</v>
      </c>
      <c r="H6" s="17" t="n">
        <v>0</v>
      </c>
      <c r="I6" s="15" t="n">
        <v>25000</v>
      </c>
      <c r="J6" s="15" t="n">
        <v>700</v>
      </c>
      <c r="K6" s="15" t="n">
        <v>33133.33333333333</v>
      </c>
      <c r="L6" s="16" t="n">
        <v>-33433.33</v>
      </c>
      <c r="M6" s="17" t="n">
        <v>0</v>
      </c>
      <c r="N6" s="15" t="n">
        <v>200000</v>
      </c>
      <c r="O6" s="15" t="n">
        <v>311698.67</v>
      </c>
      <c r="P6" s="15" t="n">
        <v>478265.33</v>
      </c>
      <c r="Q6" s="15" t="n">
        <v>0</v>
      </c>
      <c r="R6" s="18" t="n">
        <v>99.90000000000001</v>
      </c>
      <c r="S6" s="19" t="n">
        <v>3</v>
      </c>
      <c r="T6" s="15" t="n">
        <v>520000</v>
      </c>
      <c r="U6" s="16" t="n">
        <v>-41734.67</v>
      </c>
    </row>
    <row r="7" ht="16" customHeight="1">
      <c r="A7" s="8" t="inlineStr">
        <is>
          <t>Sep 2026</t>
        </is>
      </c>
      <c r="B7" s="8" t="inlineStr">
        <is>
          <t>Pre-Seed</t>
        </is>
      </c>
      <c r="C7" s="9" t="n">
        <v>0</v>
      </c>
      <c r="D7" s="9" t="n">
        <v>0</v>
      </c>
      <c r="E7" s="9" t="n">
        <v>0</v>
      </c>
      <c r="F7" s="9" t="n">
        <v>400</v>
      </c>
      <c r="G7" s="11" t="n">
        <v>-400</v>
      </c>
      <c r="H7" s="10" t="n">
        <v>0</v>
      </c>
      <c r="I7" s="9" t="n">
        <v>32714</v>
      </c>
      <c r="J7" s="9" t="n">
        <v>800</v>
      </c>
      <c r="K7" s="9" t="n">
        <v>40947.33333333334</v>
      </c>
      <c r="L7" s="11" t="n">
        <v>-41347.33</v>
      </c>
      <c r="M7" s="10" t="n">
        <v>0</v>
      </c>
      <c r="N7" s="9" t="n">
        <v>0</v>
      </c>
      <c r="O7" s="9" t="n">
        <v>478265.33</v>
      </c>
      <c r="P7" s="9" t="n">
        <v>436918</v>
      </c>
      <c r="Q7" s="9" t="n">
        <v>41347.33333333334</v>
      </c>
      <c r="R7" s="12" t="n">
        <v>10.56701762306316</v>
      </c>
      <c r="S7" s="13" t="n">
        <v>4</v>
      </c>
      <c r="T7" s="9" t="n">
        <v>520000</v>
      </c>
      <c r="U7" s="11" t="n">
        <v>-83082</v>
      </c>
    </row>
    <row r="8" ht="16" customHeight="1">
      <c r="A8" s="14" t="inlineStr">
        <is>
          <t>Okt 2026</t>
        </is>
      </c>
      <c r="B8" s="14" t="inlineStr">
        <is>
          <t>Pre-Seed</t>
        </is>
      </c>
      <c r="C8" s="15" t="n">
        <v>1050</v>
      </c>
      <c r="D8" s="15" t="n">
        <v>1050</v>
      </c>
      <c r="E8" s="15" t="n">
        <v>0</v>
      </c>
      <c r="F8" s="15" t="n">
        <v>696.25</v>
      </c>
      <c r="G8" s="15" t="n">
        <v>353.75</v>
      </c>
      <c r="H8" s="17" t="n">
        <v>0.3369</v>
      </c>
      <c r="I8" s="15" t="n">
        <v>32714</v>
      </c>
      <c r="J8" s="15" t="n">
        <v>1070</v>
      </c>
      <c r="K8" s="15" t="n">
        <v>41238.33333333334</v>
      </c>
      <c r="L8" s="16" t="n">
        <v>-40884.58</v>
      </c>
      <c r="M8" s="20" t="n">
        <v>-38.9377</v>
      </c>
      <c r="N8" s="15" t="n">
        <v>0</v>
      </c>
      <c r="O8" s="15" t="n">
        <v>436918</v>
      </c>
      <c r="P8" s="15" t="n">
        <v>396033.42</v>
      </c>
      <c r="Q8" s="15" t="n">
        <v>40884.58333333334</v>
      </c>
      <c r="R8" s="18" t="n">
        <v>9.686619854672198</v>
      </c>
      <c r="S8" s="19" t="n">
        <v>4</v>
      </c>
      <c r="T8" s="15" t="n">
        <v>520000</v>
      </c>
      <c r="U8" s="16" t="n">
        <v>-123966.58</v>
      </c>
    </row>
    <row r="9" ht="16" customHeight="1">
      <c r="A9" s="8" t="inlineStr">
        <is>
          <t>Nov 2026</t>
        </is>
      </c>
      <c r="B9" s="8" t="inlineStr">
        <is>
          <t>Pre-Seed</t>
        </is>
      </c>
      <c r="C9" s="9" t="n">
        <v>1050</v>
      </c>
      <c r="D9" s="9" t="n">
        <v>1050</v>
      </c>
      <c r="E9" s="9" t="n">
        <v>0</v>
      </c>
      <c r="F9" s="9" t="n">
        <v>696.25</v>
      </c>
      <c r="G9" s="9" t="n">
        <v>353.75</v>
      </c>
      <c r="H9" s="10" t="n">
        <v>0.3369</v>
      </c>
      <c r="I9" s="9" t="n">
        <v>32714</v>
      </c>
      <c r="J9" s="9" t="n">
        <v>1070</v>
      </c>
      <c r="K9" s="9" t="n">
        <v>41238.33333333334</v>
      </c>
      <c r="L9" s="11" t="n">
        <v>-40884.58</v>
      </c>
      <c r="M9" s="21" t="n">
        <v>-38.9377</v>
      </c>
      <c r="N9" s="9" t="n">
        <v>200000</v>
      </c>
      <c r="O9" s="9" t="n">
        <v>396033.42</v>
      </c>
      <c r="P9" s="9" t="n">
        <v>555148.83</v>
      </c>
      <c r="Q9" s="9" t="n">
        <v>0</v>
      </c>
      <c r="R9" s="12" t="n">
        <v>99.90000000000001</v>
      </c>
      <c r="S9" s="13" t="n">
        <v>4</v>
      </c>
      <c r="T9" s="9" t="n">
        <v>720000</v>
      </c>
      <c r="U9" s="11" t="n">
        <v>-164851.17</v>
      </c>
    </row>
    <row r="10" ht="16" customHeight="1">
      <c r="A10" s="14" t="inlineStr">
        <is>
          <t>Dez 2026</t>
        </is>
      </c>
      <c r="B10" s="14" t="inlineStr">
        <is>
          <t>Pre-Seed</t>
        </is>
      </c>
      <c r="C10" s="15" t="n">
        <v>1050</v>
      </c>
      <c r="D10" s="15" t="n">
        <v>1050</v>
      </c>
      <c r="E10" s="15" t="n">
        <v>0</v>
      </c>
      <c r="F10" s="15" t="n">
        <v>696.25</v>
      </c>
      <c r="G10" s="15" t="n">
        <v>353.75</v>
      </c>
      <c r="H10" s="17" t="n">
        <v>0.3369</v>
      </c>
      <c r="I10" s="15" t="n">
        <v>32714</v>
      </c>
      <c r="J10" s="15" t="n">
        <v>1070</v>
      </c>
      <c r="K10" s="15" t="n">
        <v>41238.33333333334</v>
      </c>
      <c r="L10" s="16" t="n">
        <v>-40884.58</v>
      </c>
      <c r="M10" s="20" t="n">
        <v>-38.9377</v>
      </c>
      <c r="N10" s="15" t="n">
        <v>0</v>
      </c>
      <c r="O10" s="15" t="n">
        <v>555148.83</v>
      </c>
      <c r="P10" s="15" t="n">
        <v>514264.25</v>
      </c>
      <c r="Q10" s="15" t="n">
        <v>40884.58333333334</v>
      </c>
      <c r="R10" s="18" t="n">
        <v>12.57843930576929</v>
      </c>
      <c r="S10" s="19" t="n">
        <v>4</v>
      </c>
      <c r="T10" s="15" t="n">
        <v>720000</v>
      </c>
      <c r="U10" s="16" t="n">
        <v>-205735.75</v>
      </c>
    </row>
    <row r="11" ht="16" customHeight="1">
      <c r="A11" s="8" t="inlineStr">
        <is>
          <t>Jan 2027</t>
        </is>
      </c>
      <c r="B11" s="8" t="inlineStr">
        <is>
          <t>Pre-Seed</t>
        </is>
      </c>
      <c r="C11" s="9" t="n">
        <v>1050</v>
      </c>
      <c r="D11" s="9" t="n">
        <v>1050</v>
      </c>
      <c r="E11" s="9" t="n">
        <v>0</v>
      </c>
      <c r="F11" s="9" t="n">
        <v>796.25</v>
      </c>
      <c r="G11" s="9" t="n">
        <v>253.75</v>
      </c>
      <c r="H11" s="10" t="n">
        <v>0.2417</v>
      </c>
      <c r="I11" s="9" t="n">
        <v>40733</v>
      </c>
      <c r="J11" s="9" t="n">
        <v>1170</v>
      </c>
      <c r="K11" s="9" t="n">
        <v>49857.33333333334</v>
      </c>
      <c r="L11" s="11" t="n">
        <v>-49603.58</v>
      </c>
      <c r="M11" s="21" t="n">
        <v>-47.2415</v>
      </c>
      <c r="N11" s="9" t="n">
        <v>0</v>
      </c>
      <c r="O11" s="9" t="n">
        <v>514264.25</v>
      </c>
      <c r="P11" s="9" t="n">
        <v>464660.67</v>
      </c>
      <c r="Q11" s="9" t="n">
        <v>49603.58333333334</v>
      </c>
      <c r="R11" s="12" t="n">
        <v>9.367481851949542</v>
      </c>
      <c r="S11" s="13" t="n">
        <v>5</v>
      </c>
      <c r="T11" s="9" t="n">
        <v>720000</v>
      </c>
      <c r="U11" s="11" t="n">
        <v>-255339.33</v>
      </c>
    </row>
    <row r="12" ht="16" customHeight="1">
      <c r="A12" s="14" t="inlineStr">
        <is>
          <t>Feb 2027</t>
        </is>
      </c>
      <c r="B12" s="14" t="inlineStr">
        <is>
          <t>Pre-Seed</t>
        </is>
      </c>
      <c r="C12" s="15" t="n">
        <v>3100</v>
      </c>
      <c r="D12" s="15" t="n">
        <v>2100</v>
      </c>
      <c r="E12" s="15" t="n">
        <v>1000</v>
      </c>
      <c r="F12" s="15" t="n">
        <v>1192.5</v>
      </c>
      <c r="G12" s="15" t="n">
        <v>1907.5</v>
      </c>
      <c r="H12" s="17" t="n">
        <v>0.6153</v>
      </c>
      <c r="I12" s="15" t="n">
        <v>47735.33333333333</v>
      </c>
      <c r="J12" s="15" t="n">
        <v>1540</v>
      </c>
      <c r="K12" s="15" t="n">
        <v>57250.66666666666</v>
      </c>
      <c r="L12" s="16" t="n">
        <v>-55343.17</v>
      </c>
      <c r="M12" s="20" t="n">
        <v>-17.8526</v>
      </c>
      <c r="N12" s="15" t="n">
        <v>0</v>
      </c>
      <c r="O12" s="15" t="n">
        <v>464660.67</v>
      </c>
      <c r="P12" s="15" t="n">
        <v>409317.5</v>
      </c>
      <c r="Q12" s="15" t="n">
        <v>55343.16666666666</v>
      </c>
      <c r="R12" s="18" t="n">
        <v>7.395989869270221</v>
      </c>
      <c r="S12" s="19" t="n">
        <v>6</v>
      </c>
      <c r="T12" s="15" t="n">
        <v>720000</v>
      </c>
      <c r="U12" s="16" t="n">
        <v>-310682.5</v>
      </c>
    </row>
    <row r="13" ht="16" customHeight="1">
      <c r="A13" s="8" t="inlineStr">
        <is>
          <t>Mär 2027</t>
        </is>
      </c>
      <c r="B13" s="8" t="inlineStr">
        <is>
          <t>Pre-Seed</t>
        </is>
      </c>
      <c r="C13" s="9" t="n">
        <v>2100</v>
      </c>
      <c r="D13" s="9" t="n">
        <v>2100</v>
      </c>
      <c r="E13" s="9" t="n">
        <v>0</v>
      </c>
      <c r="F13" s="9" t="n">
        <v>1192.5</v>
      </c>
      <c r="G13" s="9" t="n">
        <v>907.5</v>
      </c>
      <c r="H13" s="10" t="n">
        <v>0.4321</v>
      </c>
      <c r="I13" s="9" t="n">
        <v>47735.33333333333</v>
      </c>
      <c r="J13" s="9" t="n">
        <v>1540</v>
      </c>
      <c r="K13" s="9" t="n">
        <v>57250.66666666666</v>
      </c>
      <c r="L13" s="11" t="n">
        <v>-56343.17</v>
      </c>
      <c r="M13" s="21" t="n">
        <v>-26.8301</v>
      </c>
      <c r="N13" s="9" t="n">
        <v>0</v>
      </c>
      <c r="O13" s="9" t="n">
        <v>409317.5</v>
      </c>
      <c r="P13" s="9" t="n">
        <v>352974.33</v>
      </c>
      <c r="Q13" s="9" t="n">
        <v>56343.16666666666</v>
      </c>
      <c r="R13" s="12" t="n">
        <v>6.264723021721061</v>
      </c>
      <c r="S13" s="13" t="n">
        <v>6</v>
      </c>
      <c r="T13" s="9" t="n">
        <v>720000</v>
      </c>
      <c r="U13" s="11" t="n">
        <v>-367025.67</v>
      </c>
    </row>
    <row r="14" ht="16" customHeight="1">
      <c r="A14" s="14" t="inlineStr">
        <is>
          <t>Apr 2027</t>
        </is>
      </c>
      <c r="B14" s="14" t="inlineStr">
        <is>
          <t>Pre-Seed</t>
        </is>
      </c>
      <c r="C14" s="15" t="n">
        <v>4244.5</v>
      </c>
      <c r="D14" s="15" t="n">
        <v>3244.5</v>
      </c>
      <c r="E14" s="15" t="n">
        <v>1000</v>
      </c>
      <c r="F14" s="15" t="n">
        <v>1491.1125</v>
      </c>
      <c r="G14" s="15" t="n">
        <v>2753.39</v>
      </c>
      <c r="H14" s="17" t="n">
        <v>0.6487000000000001</v>
      </c>
      <c r="I14" s="15" t="n">
        <v>48409.38333333333</v>
      </c>
      <c r="J14" s="15" t="n">
        <v>1810</v>
      </c>
      <c r="K14" s="15" t="n">
        <v>58217.60666666667</v>
      </c>
      <c r="L14" s="16" t="n">
        <v>-55464.22</v>
      </c>
      <c r="M14" s="20" t="n">
        <v>-13.0673</v>
      </c>
      <c r="N14" s="15" t="n">
        <v>0</v>
      </c>
      <c r="O14" s="15" t="n">
        <v>352974.33</v>
      </c>
      <c r="P14" s="15" t="n">
        <v>297510.11</v>
      </c>
      <c r="Q14" s="15" t="n">
        <v>55464.21916666667</v>
      </c>
      <c r="R14" s="18" t="n">
        <v>5.364000767281453</v>
      </c>
      <c r="S14" s="19" t="n">
        <v>6</v>
      </c>
      <c r="T14" s="15" t="n">
        <v>720000</v>
      </c>
      <c r="U14" s="16" t="n">
        <v>-422489.89</v>
      </c>
    </row>
    <row r="15" ht="16" customHeight="1">
      <c r="A15" s="8" t="inlineStr">
        <is>
          <t>Mai 2027</t>
        </is>
      </c>
      <c r="B15" s="8" t="inlineStr">
        <is>
          <t>Pre-Seed</t>
        </is>
      </c>
      <c r="C15" s="9" t="n">
        <v>3244.5</v>
      </c>
      <c r="D15" s="9" t="n">
        <v>3244.5</v>
      </c>
      <c r="E15" s="9" t="n">
        <v>0</v>
      </c>
      <c r="F15" s="9" t="n">
        <v>1691.1125</v>
      </c>
      <c r="G15" s="9" t="n">
        <v>1553.39</v>
      </c>
      <c r="H15" s="10" t="n">
        <v>0.4788</v>
      </c>
      <c r="I15" s="9" t="n">
        <v>58430.75000000001</v>
      </c>
      <c r="J15" s="9" t="n">
        <v>2010</v>
      </c>
      <c r="K15" s="9" t="n">
        <v>68938.97333333334</v>
      </c>
      <c r="L15" s="11" t="n">
        <v>-67385.59</v>
      </c>
      <c r="M15" s="21" t="n">
        <v>-20.7692</v>
      </c>
      <c r="N15" s="9" t="n">
        <v>0</v>
      </c>
      <c r="O15" s="9" t="n">
        <v>297510.11</v>
      </c>
      <c r="P15" s="9" t="n">
        <v>230124.53</v>
      </c>
      <c r="Q15" s="9" t="n">
        <v>67385.58583333335</v>
      </c>
      <c r="R15" s="12" t="n">
        <v>3.415040850167969</v>
      </c>
      <c r="S15" s="13" t="n">
        <v>8</v>
      </c>
      <c r="T15" s="9" t="n">
        <v>720000</v>
      </c>
      <c r="U15" s="11" t="n">
        <v>-489875.47</v>
      </c>
    </row>
    <row r="16" ht="16" customHeight="1">
      <c r="A16" s="14" t="inlineStr">
        <is>
          <t>Jun 2027</t>
        </is>
      </c>
      <c r="B16" s="14" t="inlineStr">
        <is>
          <t>Pre-Seed</t>
        </is>
      </c>
      <c r="C16" s="15" t="n">
        <v>3244.5</v>
      </c>
      <c r="D16" s="15" t="n">
        <v>3244.5</v>
      </c>
      <c r="E16" s="15" t="n">
        <v>0</v>
      </c>
      <c r="F16" s="15" t="n">
        <v>1691.1125</v>
      </c>
      <c r="G16" s="15" t="n">
        <v>1553.39</v>
      </c>
      <c r="H16" s="17" t="n">
        <v>0.4788</v>
      </c>
      <c r="I16" s="15" t="n">
        <v>58430.75000000001</v>
      </c>
      <c r="J16" s="15" t="n">
        <v>2010</v>
      </c>
      <c r="K16" s="15" t="n">
        <v>68938.97333333334</v>
      </c>
      <c r="L16" s="16" t="n">
        <v>-67385.59</v>
      </c>
      <c r="M16" s="20" t="n">
        <v>-20.7692</v>
      </c>
      <c r="N16" s="15" t="n">
        <v>0</v>
      </c>
      <c r="O16" s="15" t="n">
        <v>230124.53</v>
      </c>
      <c r="P16" s="15" t="n">
        <v>162738.94</v>
      </c>
      <c r="Q16" s="15" t="n">
        <v>67385.58583333335</v>
      </c>
      <c r="R16" s="18" t="n">
        <v>2.415040850167969</v>
      </c>
      <c r="S16" s="19" t="n">
        <v>8</v>
      </c>
      <c r="T16" s="15" t="n">
        <v>720000</v>
      </c>
      <c r="U16" s="16" t="n">
        <v>-557261.0600000001</v>
      </c>
    </row>
    <row r="17" ht="16" customHeight="1">
      <c r="A17" s="8" t="inlineStr">
        <is>
          <t>Jul 2027</t>
        </is>
      </c>
      <c r="B17" s="8" t="inlineStr">
        <is>
          <t>Pre-Seed</t>
        </is>
      </c>
      <c r="C17" s="9" t="n">
        <v>3244.5</v>
      </c>
      <c r="D17" s="9" t="n">
        <v>3244.5</v>
      </c>
      <c r="E17" s="9" t="n">
        <v>0</v>
      </c>
      <c r="F17" s="9" t="n">
        <v>1691.1125</v>
      </c>
      <c r="G17" s="9" t="n">
        <v>1553.39</v>
      </c>
      <c r="H17" s="10" t="n">
        <v>0.4788</v>
      </c>
      <c r="I17" s="9" t="n">
        <v>58430.75000000001</v>
      </c>
      <c r="J17" s="9" t="n">
        <v>2010</v>
      </c>
      <c r="K17" s="9" t="n">
        <v>68938.97333333334</v>
      </c>
      <c r="L17" s="11" t="n">
        <v>-67385.59</v>
      </c>
      <c r="M17" s="21" t="n">
        <v>-20.7692</v>
      </c>
      <c r="N17" s="9" t="n">
        <v>0</v>
      </c>
      <c r="O17" s="9" t="n">
        <v>162738.94</v>
      </c>
      <c r="P17" s="9" t="n">
        <v>95353.36</v>
      </c>
      <c r="Q17" s="9" t="n">
        <v>67385.58583333335</v>
      </c>
      <c r="R17" s="12" t="n">
        <v>1.415040850167969</v>
      </c>
      <c r="S17" s="13" t="n">
        <v>8</v>
      </c>
      <c r="T17" s="9" t="n">
        <v>720000</v>
      </c>
      <c r="U17" s="11" t="n">
        <v>-624646.64</v>
      </c>
    </row>
    <row r="18" ht="16" customHeight="1">
      <c r="A18" s="14" t="inlineStr">
        <is>
          <t>Aug 2027</t>
        </is>
      </c>
      <c r="B18" s="14" t="inlineStr">
        <is>
          <t>Seed</t>
        </is>
      </c>
      <c r="C18" s="15" t="n">
        <v>3244.5</v>
      </c>
      <c r="D18" s="15" t="n">
        <v>3244.5</v>
      </c>
      <c r="E18" s="15" t="n">
        <v>0</v>
      </c>
      <c r="F18" s="15" t="n">
        <v>2491.1125</v>
      </c>
      <c r="G18" s="15" t="n">
        <v>753.39</v>
      </c>
      <c r="H18" s="17" t="n">
        <v>0.2322</v>
      </c>
      <c r="I18" s="15" t="n">
        <v>58430.75000000001</v>
      </c>
      <c r="J18" s="15" t="n">
        <v>3210</v>
      </c>
      <c r="K18" s="15" t="n">
        <v>129245.64</v>
      </c>
      <c r="L18" s="16" t="n">
        <v>-128492.25</v>
      </c>
      <c r="M18" s="20" t="n">
        <v>-39.6031</v>
      </c>
      <c r="N18" s="15" t="n">
        <v>2000000</v>
      </c>
      <c r="O18" s="15" t="n">
        <v>95353.36</v>
      </c>
      <c r="P18" s="15" t="n">
        <v>1966861.1</v>
      </c>
      <c r="Q18" s="15" t="n">
        <v>0</v>
      </c>
      <c r="R18" s="18" t="n">
        <v>99.90000000000001</v>
      </c>
      <c r="S18" s="19" t="n">
        <v>8</v>
      </c>
      <c r="T18" s="15" t="n">
        <v>2720000</v>
      </c>
      <c r="U18" s="16" t="n">
        <v>-753138.9</v>
      </c>
    </row>
    <row r="19" ht="16" customHeight="1">
      <c r="A19" s="8" t="inlineStr">
        <is>
          <t>Sep 2027</t>
        </is>
      </c>
      <c r="B19" s="8" t="inlineStr">
        <is>
          <t>Seed</t>
        </is>
      </c>
      <c r="C19" s="9" t="n">
        <v>8849.5</v>
      </c>
      <c r="D19" s="9" t="n">
        <v>6849.5</v>
      </c>
      <c r="E19" s="9" t="n">
        <v>2000</v>
      </c>
      <c r="F19" s="9" t="n">
        <v>3481.2375</v>
      </c>
      <c r="G19" s="9" t="n">
        <v>5368.26</v>
      </c>
      <c r="H19" s="10" t="n">
        <v>0.6066</v>
      </c>
      <c r="I19" s="9" t="n">
        <v>58430.75000000001</v>
      </c>
      <c r="J19" s="9" t="n">
        <v>4110</v>
      </c>
      <c r="K19" s="9" t="n">
        <v>80217.74000000001</v>
      </c>
      <c r="L19" s="11" t="n">
        <v>-74849.48</v>
      </c>
      <c r="M19" s="21" t="n">
        <v>-8.458</v>
      </c>
      <c r="N19" s="9" t="n">
        <v>0</v>
      </c>
      <c r="O19" s="9" t="n">
        <v>1966861.1</v>
      </c>
      <c r="P19" s="9" t="n">
        <v>1892011.63</v>
      </c>
      <c r="Q19" s="9" t="n">
        <v>74849.47750000001</v>
      </c>
      <c r="R19" s="12" t="n">
        <v>25.27755289496398</v>
      </c>
      <c r="S19" s="13" t="n">
        <v>8</v>
      </c>
      <c r="T19" s="9" t="n">
        <v>2720000</v>
      </c>
      <c r="U19" s="11" t="n">
        <v>-827988.37</v>
      </c>
    </row>
    <row r="20" ht="16" customHeight="1">
      <c r="A20" s="14" t="inlineStr">
        <is>
          <t>Okt 2027</t>
        </is>
      </c>
      <c r="B20" s="14" t="inlineStr">
        <is>
          <t>Seed</t>
        </is>
      </c>
      <c r="C20" s="15" t="n">
        <v>16617.5</v>
      </c>
      <c r="D20" s="15" t="n">
        <v>12617.5</v>
      </c>
      <c r="E20" s="15" t="n">
        <v>4000</v>
      </c>
      <c r="F20" s="15" t="n">
        <v>5465.4375</v>
      </c>
      <c r="G20" s="15" t="n">
        <v>11152.06</v>
      </c>
      <c r="H20" s="17" t="n">
        <v>0.6711</v>
      </c>
      <c r="I20" s="15" t="n">
        <v>73478.51666666668</v>
      </c>
      <c r="J20" s="15" t="n">
        <v>5950</v>
      </c>
      <c r="K20" s="15" t="n">
        <v>97220.86666666668</v>
      </c>
      <c r="L20" s="16" t="n">
        <v>-86068.8</v>
      </c>
      <c r="M20" s="20" t="n">
        <v>-5.1794</v>
      </c>
      <c r="N20" s="15" t="n">
        <v>0</v>
      </c>
      <c r="O20" s="15" t="n">
        <v>1892011.63</v>
      </c>
      <c r="P20" s="15" t="n">
        <v>1805942.82</v>
      </c>
      <c r="Q20" s="15" t="n">
        <v>86068.80416666668</v>
      </c>
      <c r="R20" s="18" t="n">
        <v>20.98254809028029</v>
      </c>
      <c r="S20" s="19" t="n">
        <v>10</v>
      </c>
      <c r="T20" s="15" t="n">
        <v>2720000</v>
      </c>
      <c r="U20" s="16" t="n">
        <v>-914057.1800000001</v>
      </c>
    </row>
    <row r="21" ht="16" customHeight="1">
      <c r="A21" s="8" t="inlineStr">
        <is>
          <t>Nov 2027</t>
        </is>
      </c>
      <c r="B21" s="8" t="inlineStr">
        <is>
          <t>Seed</t>
        </is>
      </c>
      <c r="C21" s="9" t="n">
        <v>16780.5</v>
      </c>
      <c r="D21" s="9" t="n">
        <v>14780.5</v>
      </c>
      <c r="E21" s="9" t="n">
        <v>2000</v>
      </c>
      <c r="F21" s="9" t="n">
        <v>6059.5125</v>
      </c>
      <c r="G21" s="9" t="n">
        <v>10720.99</v>
      </c>
      <c r="H21" s="10" t="n">
        <v>0.6389</v>
      </c>
      <c r="I21" s="9" t="n">
        <v>73478.51666666668</v>
      </c>
      <c r="J21" s="9" t="n">
        <v>6490</v>
      </c>
      <c r="K21" s="9" t="n">
        <v>97804.12666666668</v>
      </c>
      <c r="L21" s="11" t="n">
        <v>-87083.14</v>
      </c>
      <c r="M21" s="21" t="n">
        <v>-5.1895</v>
      </c>
      <c r="N21" s="9" t="n">
        <v>0</v>
      </c>
      <c r="O21" s="9" t="n">
        <v>1805942.82</v>
      </c>
      <c r="P21" s="9" t="n">
        <v>1718859.68</v>
      </c>
      <c r="Q21" s="9" t="n">
        <v>87083.13916666668</v>
      </c>
      <c r="R21" s="12" t="n">
        <v>19.73814563624816</v>
      </c>
      <c r="S21" s="13" t="n">
        <v>10</v>
      </c>
      <c r="T21" s="9" t="n">
        <v>2720000</v>
      </c>
      <c r="U21" s="11" t="n">
        <v>-1001140.32</v>
      </c>
    </row>
    <row r="22" ht="16" customHeight="1">
      <c r="A22" s="14" t="inlineStr">
        <is>
          <t>Dez 2027</t>
        </is>
      </c>
      <c r="B22" s="14" t="inlineStr">
        <is>
          <t>Seed</t>
        </is>
      </c>
      <c r="C22" s="15" t="n">
        <v>20385.5</v>
      </c>
      <c r="D22" s="15" t="n">
        <v>18385.5</v>
      </c>
      <c r="E22" s="15" t="n">
        <v>2000</v>
      </c>
      <c r="F22" s="15" t="n">
        <v>7249.6375</v>
      </c>
      <c r="G22" s="15" t="n">
        <v>13135.86</v>
      </c>
      <c r="H22" s="17" t="n">
        <v>0.6444</v>
      </c>
      <c r="I22" s="15" t="n">
        <v>81421.26666666666</v>
      </c>
      <c r="J22" s="15" t="n">
        <v>7590</v>
      </c>
      <c r="K22" s="15" t="n">
        <v>106918.9766666667</v>
      </c>
      <c r="L22" s="16" t="n">
        <v>-93783.11</v>
      </c>
      <c r="M22" s="20" t="n">
        <v>-4.6005</v>
      </c>
      <c r="N22" s="15" t="n">
        <v>0</v>
      </c>
      <c r="O22" s="15" t="n">
        <v>1718859.68</v>
      </c>
      <c r="P22" s="15" t="n">
        <v>1625076.57</v>
      </c>
      <c r="Q22" s="15" t="n">
        <v>93783.11416666667</v>
      </c>
      <c r="R22" s="18" t="n">
        <v>17.32802950303678</v>
      </c>
      <c r="S22" s="19" t="n">
        <v>11</v>
      </c>
      <c r="T22" s="15" t="n">
        <v>2720000</v>
      </c>
      <c r="U22" s="16" t="n">
        <v>-1094923.43</v>
      </c>
    </row>
    <row r="23" ht="16" customHeight="1">
      <c r="A23" s="8" t="inlineStr">
        <is>
          <t>Jan 2028</t>
        </is>
      </c>
      <c r="B23" s="8" t="inlineStr">
        <is>
          <t>Seed</t>
        </is>
      </c>
      <c r="C23" s="9" t="n">
        <v>18385.5</v>
      </c>
      <c r="D23" s="9" t="n">
        <v>18385.5</v>
      </c>
      <c r="E23" s="9" t="n">
        <v>0</v>
      </c>
      <c r="F23" s="9" t="n">
        <v>7449.6375</v>
      </c>
      <c r="G23" s="9" t="n">
        <v>10935.86</v>
      </c>
      <c r="H23" s="10" t="n">
        <v>0.5948</v>
      </c>
      <c r="I23" s="9" t="n">
        <v>89678.16666666667</v>
      </c>
      <c r="J23" s="9" t="n">
        <v>7790</v>
      </c>
      <c r="K23" s="9" t="n">
        <v>115475.8766666667</v>
      </c>
      <c r="L23" s="11" t="n">
        <v>-104540.01</v>
      </c>
      <c r="M23" s="21" t="n">
        <v>-5.686</v>
      </c>
      <c r="N23" s="9" t="n">
        <v>0</v>
      </c>
      <c r="O23" s="9" t="n">
        <v>1625076.57</v>
      </c>
      <c r="P23" s="9" t="n">
        <v>1520536.55</v>
      </c>
      <c r="Q23" s="9" t="n">
        <v>104540.0141666667</v>
      </c>
      <c r="R23" s="12" t="n">
        <v>14.54501959963225</v>
      </c>
      <c r="S23" s="13" t="n">
        <v>12</v>
      </c>
      <c r="T23" s="9" t="n">
        <v>2720000</v>
      </c>
      <c r="U23" s="11" t="n">
        <v>-1199463.45</v>
      </c>
    </row>
    <row r="24" ht="16" customHeight="1">
      <c r="A24" s="14" t="inlineStr">
        <is>
          <t>Feb 2028</t>
        </is>
      </c>
      <c r="B24" s="14" t="inlineStr">
        <is>
          <t>Seed</t>
        </is>
      </c>
      <c r="C24" s="15" t="n">
        <v>35840</v>
      </c>
      <c r="D24" s="15" t="n">
        <v>28840</v>
      </c>
      <c r="E24" s="15" t="n">
        <v>7000.000000000001</v>
      </c>
      <c r="F24" s="15" t="n">
        <v>10321</v>
      </c>
      <c r="G24" s="15" t="n">
        <v>25519</v>
      </c>
      <c r="H24" s="17" t="n">
        <v>0.712</v>
      </c>
      <c r="I24" s="15" t="n">
        <v>89678.16666666667</v>
      </c>
      <c r="J24" s="15" t="n">
        <v>10400</v>
      </c>
      <c r="K24" s="15" t="n">
        <v>118294.9666666667</v>
      </c>
      <c r="L24" s="16" t="n">
        <v>-92775.97</v>
      </c>
      <c r="M24" s="20" t="n">
        <v>-2.5886</v>
      </c>
      <c r="N24" s="15" t="n">
        <v>0</v>
      </c>
      <c r="O24" s="15" t="n">
        <v>1520536.55</v>
      </c>
      <c r="P24" s="15" t="n">
        <v>1427760.59</v>
      </c>
      <c r="Q24" s="15" t="n">
        <v>92775.96666666667</v>
      </c>
      <c r="R24" s="18" t="n">
        <v>15.38933669603371</v>
      </c>
      <c r="S24" s="19" t="n">
        <v>12</v>
      </c>
      <c r="T24" s="15" t="n">
        <v>2720000</v>
      </c>
      <c r="U24" s="16" t="n">
        <v>-1292239.41</v>
      </c>
    </row>
    <row r="25" ht="16" customHeight="1">
      <c r="A25" s="8" t="inlineStr">
        <is>
          <t>Mär 2028</t>
        </is>
      </c>
      <c r="B25" s="8" t="inlineStr">
        <is>
          <t>Seed</t>
        </is>
      </c>
      <c r="C25" s="9" t="n">
        <v>31985.83333333333</v>
      </c>
      <c r="D25" s="9" t="n">
        <v>30985.83333333333</v>
      </c>
      <c r="E25" s="9" t="n">
        <v>1000</v>
      </c>
      <c r="F25" s="9" t="n">
        <v>11024.64583333333</v>
      </c>
      <c r="G25" s="9" t="n">
        <v>20961.19</v>
      </c>
      <c r="H25" s="10" t="n">
        <v>0.6553</v>
      </c>
      <c r="I25" s="9" t="n">
        <v>95003</v>
      </c>
      <c r="J25" s="9" t="n">
        <v>11050</v>
      </c>
      <c r="K25" s="9" t="n">
        <v>124312.7166666667</v>
      </c>
      <c r="L25" s="11" t="n">
        <v>-103351.53</v>
      </c>
      <c r="M25" s="21" t="n">
        <v>-3.2312</v>
      </c>
      <c r="N25" s="9" t="n">
        <v>0</v>
      </c>
      <c r="O25" s="9" t="n">
        <v>1427760.59</v>
      </c>
      <c r="P25" s="9" t="n">
        <v>1324409.06</v>
      </c>
      <c r="Q25" s="9" t="n">
        <v>103351.5291666667</v>
      </c>
      <c r="R25" s="12" t="n">
        <v>12.81460535558113</v>
      </c>
      <c r="S25" s="13" t="n">
        <v>13</v>
      </c>
      <c r="T25" s="9" t="n">
        <v>2720000</v>
      </c>
      <c r="U25" s="11" t="n">
        <v>-1395590.94</v>
      </c>
    </row>
    <row r="26" ht="16" customHeight="1">
      <c r="A26" s="14" t="inlineStr">
        <is>
          <t>Apr 2028</t>
        </is>
      </c>
      <c r="B26" s="14" t="inlineStr">
        <is>
          <t>Seed</t>
        </is>
      </c>
      <c r="C26" s="15" t="n">
        <v>43341.70833333334</v>
      </c>
      <c r="D26" s="15" t="n">
        <v>39341.70833333334</v>
      </c>
      <c r="E26" s="15" t="n">
        <v>4000</v>
      </c>
      <c r="F26" s="15" t="n">
        <v>13233.54270833333</v>
      </c>
      <c r="G26" s="15" t="n">
        <v>30108.17</v>
      </c>
      <c r="H26" s="17" t="n">
        <v>0.6947</v>
      </c>
      <c r="I26" s="15" t="n">
        <v>105578.327</v>
      </c>
      <c r="J26" s="15" t="n">
        <v>13050</v>
      </c>
      <c r="K26" s="15" t="n">
        <v>137155.1611666667</v>
      </c>
      <c r="L26" s="16" t="n">
        <v>-107047</v>
      </c>
      <c r="M26" s="20" t="n">
        <v>-2.4698</v>
      </c>
      <c r="N26" s="15" t="n">
        <v>0</v>
      </c>
      <c r="O26" s="15" t="n">
        <v>1324409.06</v>
      </c>
      <c r="P26" s="15" t="n">
        <v>1217362.06</v>
      </c>
      <c r="Q26" s="15" t="n">
        <v>107046.9955416667</v>
      </c>
      <c r="R26" s="18" t="n">
        <v>11.37222074720591</v>
      </c>
      <c r="S26" s="19" t="n">
        <v>14</v>
      </c>
      <c r="T26" s="15" t="n">
        <v>2720000</v>
      </c>
      <c r="U26" s="16" t="n">
        <v>-1502637.94</v>
      </c>
    </row>
    <row r="27" ht="16" customHeight="1">
      <c r="A27" s="8" t="inlineStr">
        <is>
          <t>Mai 2028</t>
        </is>
      </c>
      <c r="B27" s="8" t="inlineStr">
        <is>
          <t>Seed</t>
        </is>
      </c>
      <c r="C27" s="9" t="n">
        <v>48168.80333333334</v>
      </c>
      <c r="D27" s="9" t="n">
        <v>44168.80333333334</v>
      </c>
      <c r="E27" s="9" t="n">
        <v>4000</v>
      </c>
      <c r="F27" s="9" t="n">
        <v>14524.22008333333</v>
      </c>
      <c r="G27" s="9" t="n">
        <v>33644.58</v>
      </c>
      <c r="H27" s="10" t="n">
        <v>0.6985</v>
      </c>
      <c r="I27" s="9" t="n">
        <v>105578.327</v>
      </c>
      <c r="J27" s="9" t="n">
        <v>14220</v>
      </c>
      <c r="K27" s="9" t="n">
        <v>138421.7030666667</v>
      </c>
      <c r="L27" s="11" t="n">
        <v>-104777.12</v>
      </c>
      <c r="M27" s="21" t="n">
        <v>-2.1752</v>
      </c>
      <c r="N27" s="9" t="n">
        <v>0</v>
      </c>
      <c r="O27" s="9" t="n">
        <v>1217362.06</v>
      </c>
      <c r="P27" s="9" t="n">
        <v>1112584.94</v>
      </c>
      <c r="Q27" s="9" t="n">
        <v>104777.1198166667</v>
      </c>
      <c r="R27" s="12" t="n">
        <v>10.61858682272498</v>
      </c>
      <c r="S27" s="13" t="n">
        <v>14</v>
      </c>
      <c r="T27" s="9" t="n">
        <v>2720000</v>
      </c>
      <c r="U27" s="11" t="n">
        <v>-1607415.06</v>
      </c>
    </row>
    <row r="28" ht="16" customHeight="1">
      <c r="A28" s="14" t="inlineStr">
        <is>
          <t>Jun 2028</t>
        </is>
      </c>
      <c r="B28" s="14" t="inlineStr">
        <is>
          <t>Seed</t>
        </is>
      </c>
      <c r="C28" s="15" t="n">
        <v>47007.69666666666</v>
      </c>
      <c r="D28" s="15" t="n">
        <v>46007.69666666666</v>
      </c>
      <c r="E28" s="15" t="n">
        <v>1000</v>
      </c>
      <c r="F28" s="15" t="n">
        <v>14930.19241666667</v>
      </c>
      <c r="G28" s="15" t="n">
        <v>32077.5</v>
      </c>
      <c r="H28" s="17" t="n">
        <v>0.6824</v>
      </c>
      <c r="I28" s="15" t="n">
        <v>105578.327</v>
      </c>
      <c r="J28" s="15" t="n">
        <v>14580</v>
      </c>
      <c r="K28" s="15" t="n">
        <v>138818.4809333333</v>
      </c>
      <c r="L28" s="16" t="n">
        <v>-106740.98</v>
      </c>
      <c r="M28" s="20" t="n">
        <v>-2.2707</v>
      </c>
      <c r="N28" s="15" t="n">
        <v>0</v>
      </c>
      <c r="O28" s="15" t="n">
        <v>1112584.94</v>
      </c>
      <c r="P28" s="15" t="n">
        <v>1005843.97</v>
      </c>
      <c r="Q28" s="15" t="n">
        <v>106740.9766833333</v>
      </c>
      <c r="R28" s="18" t="n">
        <v>9.423222443514081</v>
      </c>
      <c r="S28" s="19" t="n">
        <v>14</v>
      </c>
      <c r="T28" s="15" t="n">
        <v>2720000</v>
      </c>
      <c r="U28" s="16" t="n">
        <v>-1714156.03</v>
      </c>
    </row>
    <row r="29" ht="16" customHeight="1">
      <c r="A29" s="8" t="inlineStr">
        <is>
          <t>Jul 2028</t>
        </is>
      </c>
      <c r="B29" s="8" t="inlineStr">
        <is>
          <t>Seed</t>
        </is>
      </c>
      <c r="C29" s="9" t="n">
        <v>45636.38166666666</v>
      </c>
      <c r="D29" s="9" t="n">
        <v>45636.38166666666</v>
      </c>
      <c r="E29" s="9" t="n">
        <v>0</v>
      </c>
      <c r="F29" s="9" t="n">
        <v>14830.90954166667</v>
      </c>
      <c r="G29" s="9" t="n">
        <v>30805.47</v>
      </c>
      <c r="H29" s="10" t="n">
        <v>0.675</v>
      </c>
      <c r="I29" s="9" t="n">
        <v>105578.327</v>
      </c>
      <c r="J29" s="9" t="n">
        <v>14490</v>
      </c>
      <c r="K29" s="9" t="n">
        <v>138721.0546333333</v>
      </c>
      <c r="L29" s="11" t="n">
        <v>-107915.58</v>
      </c>
      <c r="M29" s="21" t="n">
        <v>-2.3647</v>
      </c>
      <c r="N29" s="9" t="n">
        <v>0</v>
      </c>
      <c r="O29" s="9" t="n">
        <v>1005843.97</v>
      </c>
      <c r="P29" s="9" t="n">
        <v>897928.38</v>
      </c>
      <c r="Q29" s="9" t="n">
        <v>107915.5825083333</v>
      </c>
      <c r="R29" s="12" t="n">
        <v>8.320655495209209</v>
      </c>
      <c r="S29" s="13" t="n">
        <v>14</v>
      </c>
      <c r="T29" s="9" t="n">
        <v>2720000</v>
      </c>
      <c r="U29" s="11" t="n">
        <v>-1822071.62</v>
      </c>
    </row>
    <row r="30" ht="16" customHeight="1">
      <c r="A30" s="14" t="inlineStr">
        <is>
          <t>Aug 2028</t>
        </is>
      </c>
      <c r="B30" s="14" t="inlineStr">
        <is>
          <t>Series A</t>
        </is>
      </c>
      <c r="C30" s="15" t="n">
        <v>45265.06666666667</v>
      </c>
      <c r="D30" s="15" t="n">
        <v>45265.06666666667</v>
      </c>
      <c r="E30" s="15" t="n">
        <v>0</v>
      </c>
      <c r="F30" s="15" t="n">
        <v>15431.62666666667</v>
      </c>
      <c r="G30" s="15" t="n">
        <v>29833.44</v>
      </c>
      <c r="H30" s="17" t="n">
        <v>0.6591</v>
      </c>
      <c r="I30" s="15" t="n">
        <v>105578.327</v>
      </c>
      <c r="J30" s="15" t="n">
        <v>15800</v>
      </c>
      <c r="K30" s="15" t="n">
        <v>253056.9616666667</v>
      </c>
      <c r="L30" s="16" t="n">
        <v>-223223.52</v>
      </c>
      <c r="M30" s="20" t="n">
        <v>-4.9315</v>
      </c>
      <c r="N30" s="15" t="n">
        <v>10000000</v>
      </c>
      <c r="O30" s="15" t="n">
        <v>897928.38</v>
      </c>
      <c r="P30" s="15" t="n">
        <v>10674704.86</v>
      </c>
      <c r="Q30" s="15" t="n">
        <v>0</v>
      </c>
      <c r="R30" s="18" t="n">
        <v>99.90000000000001</v>
      </c>
      <c r="S30" s="19" t="n">
        <v>14</v>
      </c>
      <c r="T30" s="15" t="n">
        <v>12720000</v>
      </c>
      <c r="U30" s="16" t="n">
        <v>-2045295.14</v>
      </c>
    </row>
    <row r="31" ht="16" customHeight="1">
      <c r="A31" s="8" t="inlineStr">
        <is>
          <t>Sep 2028</t>
        </is>
      </c>
      <c r="B31" s="8" t="inlineStr">
        <is>
          <t>Series A</t>
        </is>
      </c>
      <c r="C31" s="9" t="n">
        <v>59530.25999999999</v>
      </c>
      <c r="D31" s="9" t="n">
        <v>54530.25999999999</v>
      </c>
      <c r="E31" s="9" t="n">
        <v>5000</v>
      </c>
      <c r="F31" s="9" t="n">
        <v>17823.2565</v>
      </c>
      <c r="G31" s="9" t="n">
        <v>41707</v>
      </c>
      <c r="H31" s="10" t="n">
        <v>0.7006</v>
      </c>
      <c r="I31" s="9" t="n">
        <v>105578.327</v>
      </c>
      <c r="J31" s="9" t="n">
        <v>17960</v>
      </c>
      <c r="K31" s="9" t="n">
        <v>155402.2655333333</v>
      </c>
      <c r="L31" s="11" t="n">
        <v>-113695.26</v>
      </c>
      <c r="M31" s="21" t="n">
        <v>-1.9099</v>
      </c>
      <c r="N31" s="9" t="n">
        <v>0</v>
      </c>
      <c r="O31" s="9" t="n">
        <v>10674704.86</v>
      </c>
      <c r="P31" s="9" t="n">
        <v>10561009.6</v>
      </c>
      <c r="Q31" s="9" t="n">
        <v>113695.2620333333</v>
      </c>
      <c r="R31" s="12" t="n">
        <v>92.88873970685231</v>
      </c>
      <c r="S31" s="13" t="n">
        <v>14</v>
      </c>
      <c r="T31" s="9" t="n">
        <v>12720000</v>
      </c>
      <c r="U31" s="11" t="n">
        <v>-2158990.4</v>
      </c>
    </row>
    <row r="32" ht="16" customHeight="1">
      <c r="A32" s="14" t="inlineStr">
        <is>
          <t>Okt 2028</t>
        </is>
      </c>
      <c r="B32" s="14" t="inlineStr">
        <is>
          <t>Series A</t>
        </is>
      </c>
      <c r="C32" s="15" t="n">
        <v>64728.67</v>
      </c>
      <c r="D32" s="15" t="n">
        <v>59728.67</v>
      </c>
      <c r="E32" s="15" t="n">
        <v>5000</v>
      </c>
      <c r="F32" s="15" t="n">
        <v>19213.21675</v>
      </c>
      <c r="G32" s="15" t="n">
        <v>45515.45</v>
      </c>
      <c r="H32" s="17" t="n">
        <v>0.7032</v>
      </c>
      <c r="I32" s="15" t="n">
        <v>105578.327</v>
      </c>
      <c r="J32" s="15" t="n">
        <v>19220</v>
      </c>
      <c r="K32" s="15" t="n">
        <v>156766.2337333333</v>
      </c>
      <c r="L32" s="16" t="n">
        <v>-111250.78</v>
      </c>
      <c r="M32" s="20" t="n">
        <v>-1.7187</v>
      </c>
      <c r="N32" s="15" t="n">
        <v>0</v>
      </c>
      <c r="O32" s="15" t="n">
        <v>10561009.6</v>
      </c>
      <c r="P32" s="15" t="n">
        <v>10449758.82</v>
      </c>
      <c r="Q32" s="15" t="n">
        <v>111250.7804833333</v>
      </c>
      <c r="R32" s="18" t="n">
        <v>93.92975739166909</v>
      </c>
      <c r="S32" s="19" t="n">
        <v>14</v>
      </c>
      <c r="T32" s="15" t="n">
        <v>12720000</v>
      </c>
      <c r="U32" s="16" t="n">
        <v>-2270241.18</v>
      </c>
    </row>
    <row r="33" ht="16" customHeight="1">
      <c r="A33" s="8" t="inlineStr">
        <is>
          <t>Nov 2028</t>
        </is>
      </c>
      <c r="B33" s="8" t="inlineStr">
        <is>
          <t>Series A</t>
        </is>
      </c>
      <c r="C33" s="9" t="n">
        <v>70783.655</v>
      </c>
      <c r="D33" s="9" t="n">
        <v>66783.655</v>
      </c>
      <c r="E33" s="9" t="n">
        <v>4000</v>
      </c>
      <c r="F33" s="9" t="n">
        <v>21099.591375</v>
      </c>
      <c r="G33" s="9" t="n">
        <v>49684.06</v>
      </c>
      <c r="H33" s="10" t="n">
        <v>0.7019</v>
      </c>
      <c r="I33" s="9" t="n">
        <v>105578.327</v>
      </c>
      <c r="J33" s="9" t="n">
        <v>20930</v>
      </c>
      <c r="K33" s="9" t="n">
        <v>158617.3334333333</v>
      </c>
      <c r="L33" s="11" t="n">
        <v>-108933.27</v>
      </c>
      <c r="M33" s="21" t="n">
        <v>-1.539</v>
      </c>
      <c r="N33" s="9" t="n">
        <v>0</v>
      </c>
      <c r="O33" s="9" t="n">
        <v>10449758.82</v>
      </c>
      <c r="P33" s="9" t="n">
        <v>10340825.55</v>
      </c>
      <c r="Q33" s="9" t="n">
        <v>108933.2698083333</v>
      </c>
      <c r="R33" s="12" t="n">
        <v>94.92807448835006</v>
      </c>
      <c r="S33" s="13" t="n">
        <v>14</v>
      </c>
      <c r="T33" s="9" t="n">
        <v>12720000</v>
      </c>
      <c r="U33" s="11" t="n">
        <v>-2379174.45</v>
      </c>
    </row>
    <row r="34" ht="16" customHeight="1">
      <c r="A34" s="14" t="inlineStr">
        <is>
          <t>Dez 2028</t>
        </is>
      </c>
      <c r="B34" s="14" t="inlineStr">
        <is>
          <t>Series A</t>
        </is>
      </c>
      <c r="C34" s="15" t="n">
        <v>92361.20333333332</v>
      </c>
      <c r="D34" s="15" t="n">
        <v>82361.20333333332</v>
      </c>
      <c r="E34" s="15" t="n">
        <v>10000</v>
      </c>
      <c r="F34" s="15" t="n">
        <v>25179.03008333333</v>
      </c>
      <c r="G34" s="15" t="n">
        <v>67182.17</v>
      </c>
      <c r="H34" s="17" t="n">
        <v>0.7274</v>
      </c>
      <c r="I34" s="15" t="n">
        <v>105578.327</v>
      </c>
      <c r="J34" s="15" t="n">
        <v>24620</v>
      </c>
      <c r="K34" s="15" t="n">
        <v>162618.8844</v>
      </c>
      <c r="L34" s="16" t="n">
        <v>-95436.71000000001</v>
      </c>
      <c r="M34" s="20" t="n">
        <v>-1.0333</v>
      </c>
      <c r="N34" s="15" t="n">
        <v>0</v>
      </c>
      <c r="O34" s="15" t="n">
        <v>10340825.55</v>
      </c>
      <c r="P34" s="15" t="n">
        <v>10245388.84</v>
      </c>
      <c r="Q34" s="15" t="n">
        <v>95436.71114999999</v>
      </c>
      <c r="R34" s="18" t="n">
        <v>99.90000000000001</v>
      </c>
      <c r="S34" s="19" t="n">
        <v>14</v>
      </c>
      <c r="T34" s="15" t="n">
        <v>12720000</v>
      </c>
      <c r="U34" s="16" t="n">
        <v>-2474611.16</v>
      </c>
    </row>
    <row r="35" ht="16" customHeight="1">
      <c r="A35" s="8" t="inlineStr">
        <is>
          <t>Jan 2029</t>
        </is>
      </c>
      <c r="B35" s="8" t="inlineStr">
        <is>
          <t>Series A</t>
        </is>
      </c>
      <c r="C35" s="9" t="n">
        <v>81618.57333333332</v>
      </c>
      <c r="D35" s="9" t="n">
        <v>81618.57333333332</v>
      </c>
      <c r="E35" s="9" t="n">
        <v>0</v>
      </c>
      <c r="F35" s="9" t="n">
        <v>24980.46433333333</v>
      </c>
      <c r="G35" s="9" t="n">
        <v>56638.11</v>
      </c>
      <c r="H35" s="10" t="n">
        <v>0.6939</v>
      </c>
      <c r="I35" s="9" t="n">
        <v>105578.327</v>
      </c>
      <c r="J35" s="9" t="n">
        <v>24440</v>
      </c>
      <c r="K35" s="9" t="n">
        <v>162424.0318</v>
      </c>
      <c r="L35" s="11" t="n">
        <v>-105785.92</v>
      </c>
      <c r="M35" s="21" t="n">
        <v>-1.2961</v>
      </c>
      <c r="N35" s="9" t="n">
        <v>0</v>
      </c>
      <c r="O35" s="9" t="n">
        <v>10245388.84</v>
      </c>
      <c r="P35" s="9" t="n">
        <v>10139602.92</v>
      </c>
      <c r="Q35" s="9" t="n">
        <v>105785.9228</v>
      </c>
      <c r="R35" s="12" t="n">
        <v>95.85021001182776</v>
      </c>
      <c r="S35" s="13" t="n">
        <v>14</v>
      </c>
      <c r="T35" s="9" t="n">
        <v>12720000</v>
      </c>
      <c r="U35" s="11" t="n">
        <v>-2580397.08</v>
      </c>
    </row>
    <row r="36" ht="16" customHeight="1">
      <c r="A36" s="14" t="inlineStr">
        <is>
          <t>Feb 2029</t>
        </is>
      </c>
      <c r="B36" s="14" t="inlineStr">
        <is>
          <t>Series A</t>
        </is>
      </c>
      <c r="C36" s="15" t="n">
        <v>92302.24333333333</v>
      </c>
      <c r="D36" s="15" t="n">
        <v>88302.24333333333</v>
      </c>
      <c r="E36" s="15" t="n">
        <v>4000</v>
      </c>
      <c r="F36" s="15" t="n">
        <v>26767.55608333333</v>
      </c>
      <c r="G36" s="15" t="n">
        <v>65534.69</v>
      </c>
      <c r="H36" s="17" t="n">
        <v>0.71</v>
      </c>
      <c r="I36" s="15" t="n">
        <v>105578.327</v>
      </c>
      <c r="J36" s="15" t="n">
        <v>26060</v>
      </c>
      <c r="K36" s="15" t="n">
        <v>164177.7052</v>
      </c>
      <c r="L36" s="16" t="n">
        <v>-98643.02</v>
      </c>
      <c r="M36" s="20" t="n">
        <v>-1.0687</v>
      </c>
      <c r="N36" s="15" t="n">
        <v>0</v>
      </c>
      <c r="O36" s="15" t="n">
        <v>10139602.92</v>
      </c>
      <c r="P36" s="15" t="n">
        <v>10040959.9</v>
      </c>
      <c r="Q36" s="15" t="n">
        <v>98643.01794999999</v>
      </c>
      <c r="R36" s="18" t="n">
        <v>99.90000000000001</v>
      </c>
      <c r="S36" s="19" t="n">
        <v>14</v>
      </c>
      <c r="T36" s="15" t="n">
        <v>12720000</v>
      </c>
      <c r="U36" s="16" t="n">
        <v>-2679040.1</v>
      </c>
    </row>
    <row r="37" ht="16" customHeight="1">
      <c r="A37" s="8" t="inlineStr">
        <is>
          <t>Mär 2029</t>
        </is>
      </c>
      <c r="B37" s="8" t="inlineStr">
        <is>
          <t>Series A</t>
        </is>
      </c>
      <c r="C37" s="9" t="n">
        <v>94997.71166666667</v>
      </c>
      <c r="D37" s="9" t="n">
        <v>91997.71166666667</v>
      </c>
      <c r="E37" s="9" t="n">
        <v>3000</v>
      </c>
      <c r="F37" s="9" t="n">
        <v>27669.94279166667</v>
      </c>
      <c r="G37" s="9" t="n">
        <v>67327.77</v>
      </c>
      <c r="H37" s="10" t="n">
        <v>0.7087</v>
      </c>
      <c r="I37" s="9" t="n">
        <v>105578.327</v>
      </c>
      <c r="J37" s="9" t="n">
        <v>26870</v>
      </c>
      <c r="K37" s="9" t="n">
        <v>165061.6145666667</v>
      </c>
      <c r="L37" s="11" t="n">
        <v>-97733.85000000001</v>
      </c>
      <c r="M37" s="21" t="n">
        <v>-1.0288</v>
      </c>
      <c r="N37" s="9" t="n">
        <v>0</v>
      </c>
      <c r="O37" s="9" t="n">
        <v>10040959.9</v>
      </c>
      <c r="P37" s="9" t="n">
        <v>9943226.050000001</v>
      </c>
      <c r="Q37" s="9" t="n">
        <v>97733.84569166665</v>
      </c>
      <c r="R37" s="12" t="n">
        <v>99.90000000000001</v>
      </c>
      <c r="S37" s="13" t="n">
        <v>14</v>
      </c>
      <c r="T37" s="9" t="n">
        <v>12720000</v>
      </c>
      <c r="U37" s="11" t="n">
        <v>-2776773.95</v>
      </c>
    </row>
    <row r="38" ht="16" customHeight="1">
      <c r="A38" s="14" t="inlineStr">
        <is>
          <t>Apr 2029</t>
        </is>
      </c>
      <c r="B38" s="14" t="inlineStr">
        <is>
          <t>Series A</t>
        </is>
      </c>
      <c r="C38" s="15" t="n">
        <v>100434.8241666667</v>
      </c>
      <c r="D38" s="15" t="n">
        <v>97434.82416666667</v>
      </c>
      <c r="E38" s="15" t="n">
        <v>3000</v>
      </c>
      <c r="F38" s="15" t="n">
        <v>28435.87060416667</v>
      </c>
      <c r="G38" s="15" t="n">
        <v>71998.95</v>
      </c>
      <c r="H38" s="17" t="n">
        <v>0.7169</v>
      </c>
      <c r="I38" s="15" t="n">
        <v>107966.30681</v>
      </c>
      <c r="J38" s="15" t="n">
        <v>27500</v>
      </c>
      <c r="K38" s="15" t="n">
        <v>168188.3366266667</v>
      </c>
      <c r="L38" s="16" t="n">
        <v>-96189.38</v>
      </c>
      <c r="M38" s="20" t="n">
        <v>-0.9577</v>
      </c>
      <c r="N38" s="15" t="n">
        <v>0</v>
      </c>
      <c r="O38" s="15" t="n">
        <v>9943226.050000001</v>
      </c>
      <c r="P38" s="15" t="n">
        <v>9847036.67</v>
      </c>
      <c r="Q38" s="15" t="n">
        <v>96189.38306416664</v>
      </c>
      <c r="R38" s="18" t="n">
        <v>99.90000000000001</v>
      </c>
      <c r="S38" s="19" t="n">
        <v>14</v>
      </c>
      <c r="T38" s="15" t="n">
        <v>12720000</v>
      </c>
      <c r="U38" s="16" t="n">
        <v>-2872963.33</v>
      </c>
    </row>
    <row r="39" ht="16" customHeight="1">
      <c r="A39" s="8" t="inlineStr">
        <is>
          <t>Mai 2029</t>
        </is>
      </c>
      <c r="B39" s="8" t="inlineStr">
        <is>
          <t>Series A</t>
        </is>
      </c>
      <c r="C39" s="9" t="n">
        <v>120585.6388166667</v>
      </c>
      <c r="D39" s="9" t="n">
        <v>111585.6388166667</v>
      </c>
      <c r="E39" s="9" t="n">
        <v>9000</v>
      </c>
      <c r="F39" s="9" t="n">
        <v>32119.64097041667</v>
      </c>
      <c r="G39" s="9" t="n">
        <v>88466</v>
      </c>
      <c r="H39" s="10" t="n">
        <v>0.7336</v>
      </c>
      <c r="I39" s="9" t="n">
        <v>107966.30681</v>
      </c>
      <c r="J39" s="9" t="n">
        <v>30830</v>
      </c>
      <c r="K39" s="9" t="n">
        <v>171801.3529196666</v>
      </c>
      <c r="L39" s="11" t="n">
        <v>-83335.36</v>
      </c>
      <c r="M39" s="21" t="n">
        <v>-0.6911</v>
      </c>
      <c r="N39" s="9" t="n">
        <v>0</v>
      </c>
      <c r="O39" s="9" t="n">
        <v>9847036.67</v>
      </c>
      <c r="P39" s="9" t="n">
        <v>9763701.310000001</v>
      </c>
      <c r="Q39" s="9" t="n">
        <v>83335.35507341663</v>
      </c>
      <c r="R39" s="12" t="n">
        <v>99.90000000000001</v>
      </c>
      <c r="S39" s="13" t="n">
        <v>14</v>
      </c>
      <c r="T39" s="9" t="n">
        <v>12720000</v>
      </c>
      <c r="U39" s="11" t="n">
        <v>-2956298.69</v>
      </c>
    </row>
    <row r="40" ht="16" customHeight="1">
      <c r="A40" s="14" t="inlineStr">
        <is>
          <t>Jun 2029</t>
        </is>
      </c>
      <c r="B40" s="14" t="inlineStr">
        <is>
          <t>Series A</t>
        </is>
      </c>
      <c r="C40" s="15" t="n">
        <v>125746.3335</v>
      </c>
      <c r="D40" s="15" t="n">
        <v>120746.3335</v>
      </c>
      <c r="E40" s="15" t="n">
        <v>5000</v>
      </c>
      <c r="F40" s="15" t="n">
        <v>34418.6583375</v>
      </c>
      <c r="G40" s="15" t="n">
        <v>91327.67999999999</v>
      </c>
      <c r="H40" s="17" t="n">
        <v>0.7262999999999999</v>
      </c>
      <c r="I40" s="15" t="n">
        <v>107966.30681</v>
      </c>
      <c r="J40" s="15" t="n">
        <v>32900</v>
      </c>
      <c r="K40" s="15" t="n">
        <v>174054.5668133333</v>
      </c>
      <c r="L40" s="16" t="n">
        <v>-82726.89</v>
      </c>
      <c r="M40" s="20" t="n">
        <v>-0.6579</v>
      </c>
      <c r="N40" s="15" t="n">
        <v>0</v>
      </c>
      <c r="O40" s="15" t="n">
        <v>9763701.310000001</v>
      </c>
      <c r="P40" s="15" t="n">
        <v>9680974.42</v>
      </c>
      <c r="Q40" s="15" t="n">
        <v>82726.89165083331</v>
      </c>
      <c r="R40" s="18" t="n">
        <v>99.90000000000001</v>
      </c>
      <c r="S40" s="19" t="n">
        <v>14</v>
      </c>
      <c r="T40" s="15" t="n">
        <v>12720000</v>
      </c>
      <c r="U40" s="16" t="n">
        <v>-3039025.58</v>
      </c>
    </row>
    <row r="41" ht="16" customHeight="1">
      <c r="A41" s="8" t="inlineStr">
        <is>
          <t>Jul 2029</t>
        </is>
      </c>
      <c r="B41" s="8" t="inlineStr">
        <is>
          <t>Series A</t>
        </is>
      </c>
      <c r="C41" s="9" t="n">
        <v>134777.87695</v>
      </c>
      <c r="D41" s="9" t="n">
        <v>128777.87695</v>
      </c>
      <c r="E41" s="9" t="n">
        <v>6000.000000000001</v>
      </c>
      <c r="F41" s="9" t="n">
        <v>36509.44692375</v>
      </c>
      <c r="G41" s="9" t="n">
        <v>98268.42999999999</v>
      </c>
      <c r="H41" s="10" t="n">
        <v>0.7291</v>
      </c>
      <c r="I41" s="9" t="n">
        <v>107966.30681</v>
      </c>
      <c r="J41" s="9" t="n">
        <v>34790</v>
      </c>
      <c r="K41" s="9" t="n">
        <v>176105.1976823333</v>
      </c>
      <c r="L41" s="11" t="n">
        <v>-77836.77</v>
      </c>
      <c r="M41" s="21" t="n">
        <v>-0.5775</v>
      </c>
      <c r="N41" s="9" t="n">
        <v>0</v>
      </c>
      <c r="O41" s="9" t="n">
        <v>9680974.42</v>
      </c>
      <c r="P41" s="9" t="n">
        <v>9603137.66</v>
      </c>
      <c r="Q41" s="9" t="n">
        <v>77836.76765608332</v>
      </c>
      <c r="R41" s="12" t="n">
        <v>99.90000000000001</v>
      </c>
      <c r="S41" s="13" t="n">
        <v>14</v>
      </c>
      <c r="T41" s="9" t="n">
        <v>12720000</v>
      </c>
      <c r="U41" s="11" t="n">
        <v>-3116862.34</v>
      </c>
    </row>
    <row r="42" ht="16" customHeight="1">
      <c r="A42" s="14" t="inlineStr">
        <is>
          <t>Aug 2029</t>
        </is>
      </c>
      <c r="B42" s="14" t="inlineStr">
        <is>
          <t>Series B</t>
        </is>
      </c>
      <c r="C42" s="15" t="n">
        <v>147869.056</v>
      </c>
      <c r="D42" s="15" t="n">
        <v>139869.056</v>
      </c>
      <c r="E42" s="15" t="n">
        <v>8000</v>
      </c>
      <c r="F42" s="15" t="n">
        <v>40096.7264</v>
      </c>
      <c r="G42" s="15" t="n">
        <v>107772.33</v>
      </c>
      <c r="H42" s="17" t="n">
        <v>0.7288</v>
      </c>
      <c r="I42" s="15" t="n">
        <v>112966.30681</v>
      </c>
      <c r="J42" s="15" t="n">
        <v>39100</v>
      </c>
      <c r="K42" s="15" t="n">
        <v>294537.0212633333</v>
      </c>
      <c r="L42" s="16" t="n">
        <v>-186764.69</v>
      </c>
      <c r="M42" s="20" t="n">
        <v>-1.263</v>
      </c>
      <c r="N42" s="15" t="n">
        <v>0</v>
      </c>
      <c r="O42" s="15" t="n">
        <v>9603137.66</v>
      </c>
      <c r="P42" s="15" t="n">
        <v>9416372.960000001</v>
      </c>
      <c r="Q42" s="15" t="n">
        <v>186764.6916633333</v>
      </c>
      <c r="R42" s="18" t="n">
        <v>50.41837876347467</v>
      </c>
      <c r="S42" s="19" t="n">
        <v>14</v>
      </c>
      <c r="T42" s="15" t="n">
        <v>12720000</v>
      </c>
      <c r="U42" s="16" t="n">
        <v>-3303627.04</v>
      </c>
    </row>
    <row r="43" ht="16" customHeight="1">
      <c r="A43" s="8" t="inlineStr">
        <is>
          <t>Sep 2029</t>
        </is>
      </c>
      <c r="B43" s="8" t="inlineStr">
        <is>
          <t>Series B</t>
        </is>
      </c>
      <c r="C43" s="9" t="n">
        <v>155647.2962333333</v>
      </c>
      <c r="D43" s="9" t="n">
        <v>148647.2962333333</v>
      </c>
      <c r="E43" s="9" t="n">
        <v>7000.000000000001</v>
      </c>
      <c r="F43" s="9" t="n">
        <v>42296.18240583333</v>
      </c>
      <c r="G43" s="9" t="n">
        <v>113351.11</v>
      </c>
      <c r="H43" s="10" t="n">
        <v>0.7282999999999999</v>
      </c>
      <c r="I43" s="9" t="n">
        <v>112966.30681</v>
      </c>
      <c r="J43" s="9" t="n">
        <v>41080</v>
      </c>
      <c r="K43" s="9" t="n">
        <v>196692.586068</v>
      </c>
      <c r="L43" s="11" t="n">
        <v>-83341.47</v>
      </c>
      <c r="M43" s="21" t="n">
        <v>-0.5355</v>
      </c>
      <c r="N43" s="9" t="n">
        <v>0</v>
      </c>
      <c r="O43" s="9" t="n">
        <v>9416372.960000001</v>
      </c>
      <c r="P43" s="9" t="n">
        <v>9333031.49</v>
      </c>
      <c r="Q43" s="9" t="n">
        <v>83341.47224049998</v>
      </c>
      <c r="R43" s="12" t="n">
        <v>99.90000000000001</v>
      </c>
      <c r="S43" s="13" t="n">
        <v>14</v>
      </c>
      <c r="T43" s="9" t="n">
        <v>12720000</v>
      </c>
      <c r="U43" s="11" t="n">
        <v>-3386968.51</v>
      </c>
    </row>
    <row r="44" ht="16" customHeight="1">
      <c r="A44" s="14" t="inlineStr">
        <is>
          <t>Okt 2029</t>
        </is>
      </c>
      <c r="B44" s="14" t="inlineStr">
        <is>
          <t>Series B</t>
        </is>
      </c>
      <c r="C44" s="15" t="n">
        <v>156236.7496333333</v>
      </c>
      <c r="D44" s="15" t="n">
        <v>153236.7496333333</v>
      </c>
      <c r="E44" s="15" t="n">
        <v>3000</v>
      </c>
      <c r="F44" s="15" t="n">
        <v>43490.91874083333</v>
      </c>
      <c r="G44" s="15" t="n">
        <v>112745.83</v>
      </c>
      <c r="H44" s="17" t="n">
        <v>0.7216</v>
      </c>
      <c r="I44" s="15" t="n">
        <v>112966.30681</v>
      </c>
      <c r="J44" s="15" t="n">
        <v>42160</v>
      </c>
      <c r="K44" s="15" t="n">
        <v>197864.375136</v>
      </c>
      <c r="L44" s="16" t="n">
        <v>-85118.53999999999</v>
      </c>
      <c r="M44" s="20" t="n">
        <v>-0.5448</v>
      </c>
      <c r="N44" s="15" t="n">
        <v>0</v>
      </c>
      <c r="O44" s="15" t="n">
        <v>9333031.49</v>
      </c>
      <c r="P44" s="15" t="n">
        <v>9247912.949999999</v>
      </c>
      <c r="Q44" s="15" t="n">
        <v>85118.54424349999</v>
      </c>
      <c r="R44" s="18" t="n">
        <v>99.90000000000001</v>
      </c>
      <c r="S44" s="19" t="n">
        <v>14</v>
      </c>
      <c r="T44" s="15" t="n">
        <v>12720000</v>
      </c>
      <c r="U44" s="16" t="n">
        <v>-3472087.05</v>
      </c>
    </row>
    <row r="45" ht="16" customHeight="1">
      <c r="A45" s="8" t="inlineStr">
        <is>
          <t>Nov 2029</t>
        </is>
      </c>
      <c r="B45" s="8" t="inlineStr">
        <is>
          <t>Series B</t>
        </is>
      </c>
      <c r="C45" s="9" t="n">
        <v>171563.0197833333</v>
      </c>
      <c r="D45" s="9" t="n">
        <v>163563.0197833333</v>
      </c>
      <c r="E45" s="9" t="n">
        <v>8000</v>
      </c>
      <c r="F45" s="9" t="n">
        <v>46179.07549458333</v>
      </c>
      <c r="G45" s="9" t="n">
        <v>125383.94</v>
      </c>
      <c r="H45" s="10" t="n">
        <v>0.7308</v>
      </c>
      <c r="I45" s="9" t="n">
        <v>112966.30681</v>
      </c>
      <c r="J45" s="9" t="n">
        <v>44590</v>
      </c>
      <c r="K45" s="9" t="n">
        <v>200500.900539</v>
      </c>
      <c r="L45" s="11" t="n">
        <v>-75116.96000000001</v>
      </c>
      <c r="M45" s="21" t="n">
        <v>-0.4378</v>
      </c>
      <c r="N45" s="9" t="n">
        <v>0</v>
      </c>
      <c r="O45" s="9" t="n">
        <v>9247912.949999999</v>
      </c>
      <c r="P45" s="9" t="n">
        <v>9172795.99</v>
      </c>
      <c r="Q45" s="9" t="n">
        <v>75116.95625025</v>
      </c>
      <c r="R45" s="12" t="n">
        <v>99.90000000000001</v>
      </c>
      <c r="S45" s="13" t="n">
        <v>14</v>
      </c>
      <c r="T45" s="9" t="n">
        <v>12720000</v>
      </c>
      <c r="U45" s="11" t="n">
        <v>-3547204.01</v>
      </c>
    </row>
    <row r="46" ht="16" customHeight="1">
      <c r="A46" s="14" t="inlineStr">
        <is>
          <t>Dez 2029</t>
        </is>
      </c>
      <c r="B46" s="14" t="inlineStr">
        <is>
          <t>Series B</t>
        </is>
      </c>
      <c r="C46" s="15" t="n">
        <v>171516.7155166667</v>
      </c>
      <c r="D46" s="15" t="n">
        <v>168516.7155166667</v>
      </c>
      <c r="E46" s="15" t="n">
        <v>3000</v>
      </c>
      <c r="F46" s="15" t="n">
        <v>47382.91788791666</v>
      </c>
      <c r="G46" s="15" t="n">
        <v>124133.8</v>
      </c>
      <c r="H46" s="17" t="n">
        <v>0.7237</v>
      </c>
      <c r="I46" s="15" t="n">
        <v>112966.30681</v>
      </c>
      <c r="J46" s="15" t="n">
        <v>45670</v>
      </c>
      <c r="K46" s="15" t="n">
        <v>201679.9744536667</v>
      </c>
      <c r="L46" s="16" t="n">
        <v>-77546.17999999999</v>
      </c>
      <c r="M46" s="20" t="n">
        <v>-0.4521</v>
      </c>
      <c r="N46" s="15" t="n">
        <v>0</v>
      </c>
      <c r="O46" s="15" t="n">
        <v>9172795.99</v>
      </c>
      <c r="P46" s="15" t="n">
        <v>9095249.810000001</v>
      </c>
      <c r="Q46" s="15" t="n">
        <v>77546.17682491665</v>
      </c>
      <c r="R46" s="18" t="n">
        <v>99.90000000000001</v>
      </c>
      <c r="S46" s="19" t="n">
        <v>14</v>
      </c>
      <c r="T46" s="15" t="n">
        <v>12720000</v>
      </c>
      <c r="U46" s="16" t="n">
        <v>-3624750.19</v>
      </c>
    </row>
    <row r="47" ht="16" customHeight="1">
      <c r="A47" s="8" t="inlineStr">
        <is>
          <t>Jan 2030</t>
        </is>
      </c>
      <c r="B47" s="8" t="inlineStr">
        <is>
          <t>Series B</t>
        </is>
      </c>
      <c r="C47" s="9" t="n">
        <v>191902.6212666667</v>
      </c>
      <c r="D47" s="9" t="n">
        <v>181902.6212666667</v>
      </c>
      <c r="E47" s="9" t="n">
        <v>10000</v>
      </c>
      <c r="F47" s="9" t="n">
        <v>50867.56553166667</v>
      </c>
      <c r="G47" s="9" t="n">
        <v>141035.06</v>
      </c>
      <c r="H47" s="10" t="n">
        <v>0.7349</v>
      </c>
      <c r="I47" s="9" t="n">
        <v>112966.30681</v>
      </c>
      <c r="J47" s="9" t="n">
        <v>48820</v>
      </c>
      <c r="K47" s="9" t="n">
        <v>205097.6925686667</v>
      </c>
      <c r="L47" s="11" t="n">
        <v>-64062.64</v>
      </c>
      <c r="M47" s="21" t="n">
        <v>-0.3338</v>
      </c>
      <c r="N47" s="9" t="n">
        <v>0</v>
      </c>
      <c r="O47" s="9" t="n">
        <v>9095249.810000001</v>
      </c>
      <c r="P47" s="9" t="n">
        <v>9031187.18</v>
      </c>
      <c r="Q47" s="9" t="n">
        <v>64062.63683366665</v>
      </c>
      <c r="R47" s="12" t="n">
        <v>99.90000000000001</v>
      </c>
      <c r="S47" s="13" t="n">
        <v>14</v>
      </c>
      <c r="T47" s="9" t="n">
        <v>12720000</v>
      </c>
      <c r="U47" s="11" t="n">
        <v>-3688812.82</v>
      </c>
    </row>
    <row r="48" ht="16" customHeight="1">
      <c r="A48" s="14" t="inlineStr">
        <is>
          <t>Feb 2030</t>
        </is>
      </c>
      <c r="B48" s="14" t="inlineStr">
        <is>
          <t>Series B</t>
        </is>
      </c>
      <c r="C48" s="15" t="n">
        <v>189492.0746666667</v>
      </c>
      <c r="D48" s="15" t="n">
        <v>186492.0746666667</v>
      </c>
      <c r="E48" s="15" t="n">
        <v>3000</v>
      </c>
      <c r="F48" s="15" t="n">
        <v>52062.30186666667</v>
      </c>
      <c r="G48" s="15" t="n">
        <v>137429.77</v>
      </c>
      <c r="H48" s="17" t="n">
        <v>0.7252999999999999</v>
      </c>
      <c r="I48" s="15" t="n">
        <v>112966.30681</v>
      </c>
      <c r="J48" s="15" t="n">
        <v>49900</v>
      </c>
      <c r="K48" s="15" t="n">
        <v>206269.4816366666</v>
      </c>
      <c r="L48" s="16" t="n">
        <v>-68839.71000000001</v>
      </c>
      <c r="M48" s="20" t="n">
        <v>-0.3633</v>
      </c>
      <c r="N48" s="15" t="n">
        <v>0</v>
      </c>
      <c r="O48" s="15" t="n">
        <v>9031187.18</v>
      </c>
      <c r="P48" s="15" t="n">
        <v>8962347.470000001</v>
      </c>
      <c r="Q48" s="15" t="n">
        <v>68839.70883666666</v>
      </c>
      <c r="R48" s="18" t="n">
        <v>99.90000000000001</v>
      </c>
      <c r="S48" s="19" t="n">
        <v>14</v>
      </c>
      <c r="T48" s="15" t="n">
        <v>12720000</v>
      </c>
      <c r="U48" s="16" t="n">
        <v>-3757652.53</v>
      </c>
    </row>
    <row r="49" ht="16" customHeight="1">
      <c r="A49" s="8" t="inlineStr">
        <is>
          <t>Mär 2030</t>
        </is>
      </c>
      <c r="B49" s="8" t="inlineStr">
        <is>
          <t>Series B</t>
        </is>
      </c>
      <c r="C49" s="9" t="n">
        <v>197358.04265</v>
      </c>
      <c r="D49" s="9" t="n">
        <v>193358.04265</v>
      </c>
      <c r="E49" s="9" t="n">
        <v>4000</v>
      </c>
      <c r="F49" s="9" t="n">
        <v>53763.95106625</v>
      </c>
      <c r="G49" s="9" t="n">
        <v>143594.09</v>
      </c>
      <c r="H49" s="10" t="n">
        <v>0.7276</v>
      </c>
      <c r="I49" s="9" t="n">
        <v>112966.30681</v>
      </c>
      <c r="J49" s="9" t="n">
        <v>51430</v>
      </c>
      <c r="K49" s="9" t="n">
        <v>207936.8009963333</v>
      </c>
      <c r="L49" s="11" t="n">
        <v>-64342.71</v>
      </c>
      <c r="M49" s="21" t="n">
        <v>-0.326</v>
      </c>
      <c r="N49" s="9" t="n">
        <v>0</v>
      </c>
      <c r="O49" s="9" t="n">
        <v>8962347.470000001</v>
      </c>
      <c r="P49" s="9" t="n">
        <v>8898004.76</v>
      </c>
      <c r="Q49" s="9" t="n">
        <v>64342.7094125833</v>
      </c>
      <c r="R49" s="12" t="n">
        <v>99.90000000000001</v>
      </c>
      <c r="S49" s="13" t="n">
        <v>14</v>
      </c>
      <c r="T49" s="9" t="n">
        <v>12720000</v>
      </c>
      <c r="U49" s="11" t="n">
        <v>-3821995.24</v>
      </c>
    </row>
    <row r="50" ht="16" customHeight="1">
      <c r="A50" s="14" t="inlineStr">
        <is>
          <t>Apr 2030</t>
        </is>
      </c>
      <c r="B50" s="14" t="inlineStr">
        <is>
          <t>Series B</t>
        </is>
      </c>
      <c r="C50" s="15" t="n">
        <v>216613.0579335</v>
      </c>
      <c r="D50" s="15" t="n">
        <v>208613.0579335</v>
      </c>
      <c r="E50" s="15" t="n">
        <v>8000</v>
      </c>
      <c r="F50" s="15" t="n">
        <v>56305.3264483375</v>
      </c>
      <c r="G50" s="15" t="n">
        <v>160307.73</v>
      </c>
      <c r="H50" s="17" t="n">
        <v>0.7401</v>
      </c>
      <c r="I50" s="15" t="n">
        <v>115425.9260143</v>
      </c>
      <c r="J50" s="15" t="n">
        <v>53590</v>
      </c>
      <c r="K50" s="15" t="n">
        <v>212861.5205063033</v>
      </c>
      <c r="L50" s="16" t="n">
        <v>-52553.79</v>
      </c>
      <c r="M50" s="20" t="n">
        <v>-0.2426</v>
      </c>
      <c r="N50" s="15" t="n">
        <v>0</v>
      </c>
      <c r="O50" s="15" t="n">
        <v>8898004.76</v>
      </c>
      <c r="P50" s="15" t="n">
        <v>8845450.970000001</v>
      </c>
      <c r="Q50" s="15" t="n">
        <v>52553.78902114081</v>
      </c>
      <c r="R50" s="18" t="n">
        <v>99.90000000000001</v>
      </c>
      <c r="S50" s="19" t="n">
        <v>14</v>
      </c>
      <c r="T50" s="15" t="n">
        <v>12720000</v>
      </c>
      <c r="U50" s="16" t="n">
        <v>-3874549.03</v>
      </c>
    </row>
    <row r="51" ht="16" customHeight="1">
      <c r="A51" s="8" t="inlineStr">
        <is>
          <t>Mai 2030</t>
        </is>
      </c>
      <c r="B51" s="8" t="inlineStr">
        <is>
          <t>Series B</t>
        </is>
      </c>
      <c r="C51" s="9" t="n">
        <v>227461.260021</v>
      </c>
      <c r="D51" s="9" t="n">
        <v>218461.260021</v>
      </c>
      <c r="E51" s="9" t="n">
        <v>9000</v>
      </c>
      <c r="F51" s="9" t="n">
        <v>58801.531500525</v>
      </c>
      <c r="G51" s="9" t="n">
        <v>168659.73</v>
      </c>
      <c r="H51" s="10" t="n">
        <v>0.7415</v>
      </c>
      <c r="I51" s="9" t="n">
        <v>115425.9260143</v>
      </c>
      <c r="J51" s="9" t="n">
        <v>55840</v>
      </c>
      <c r="K51" s="9" t="n">
        <v>215308.4845480533</v>
      </c>
      <c r="L51" s="11" t="n">
        <v>-46648.76</v>
      </c>
      <c r="M51" s="21" t="n">
        <v>-0.2051</v>
      </c>
      <c r="N51" s="9" t="n">
        <v>0</v>
      </c>
      <c r="O51" s="9" t="n">
        <v>8845450.970000001</v>
      </c>
      <c r="P51" s="9" t="n">
        <v>8798802.210000001</v>
      </c>
      <c r="Q51" s="9" t="n">
        <v>46648.75602757832</v>
      </c>
      <c r="R51" s="12" t="n">
        <v>99.90000000000001</v>
      </c>
      <c r="S51" s="13" t="n">
        <v>14</v>
      </c>
      <c r="T51" s="9" t="n">
        <v>12720000</v>
      </c>
      <c r="U51" s="11" t="n">
        <v>-3921197.79</v>
      </c>
    </row>
    <row r="52" ht="16" customHeight="1">
      <c r="A52" s="14" t="inlineStr">
        <is>
          <t>Jun 2030</t>
        </is>
      </c>
      <c r="B52" s="14" t="inlineStr">
        <is>
          <t>Series B</t>
        </is>
      </c>
      <c r="C52" s="15" t="n">
        <v>229351.4227933333</v>
      </c>
      <c r="D52" s="15" t="n">
        <v>224351.4227933333</v>
      </c>
      <c r="E52" s="15" t="n">
        <v>5000</v>
      </c>
      <c r="F52" s="15" t="n">
        <v>60208.78556983333</v>
      </c>
      <c r="G52" s="15" t="n">
        <v>169142.64</v>
      </c>
      <c r="H52" s="17" t="n">
        <v>0.7375</v>
      </c>
      <c r="I52" s="15" t="n">
        <v>115425.9260143</v>
      </c>
      <c r="J52" s="15" t="n">
        <v>57100</v>
      </c>
      <c r="K52" s="15" t="n">
        <v>216686.2878035</v>
      </c>
      <c r="L52" s="16" t="n">
        <v>-47543.65</v>
      </c>
      <c r="M52" s="20" t="n">
        <v>-0.2073</v>
      </c>
      <c r="N52" s="15" t="n">
        <v>0</v>
      </c>
      <c r="O52" s="15" t="n">
        <v>8798802.210000001</v>
      </c>
      <c r="P52" s="15" t="n">
        <v>8751258.560000001</v>
      </c>
      <c r="Q52" s="15" t="n">
        <v>47543.65057999999</v>
      </c>
      <c r="R52" s="18" t="n">
        <v>99.90000000000001</v>
      </c>
      <c r="S52" s="19" t="n">
        <v>14</v>
      </c>
      <c r="T52" s="15" t="n">
        <v>12720000</v>
      </c>
      <c r="U52" s="16" t="n">
        <v>-3968741.44</v>
      </c>
    </row>
    <row r="53" ht="16" customHeight="1">
      <c r="A53" s="8" t="inlineStr">
        <is>
          <t>Jul 2030</t>
        </is>
      </c>
      <c r="B53" s="8" t="inlineStr">
        <is>
          <t>Series B</t>
        </is>
      </c>
      <c r="C53" s="9" t="n">
        <v>228927.1351273333</v>
      </c>
      <c r="D53" s="9" t="n">
        <v>225927.1351273333</v>
      </c>
      <c r="E53" s="9" t="n">
        <v>3000</v>
      </c>
      <c r="F53" s="9" t="n">
        <v>60608.17837818334</v>
      </c>
      <c r="G53" s="9" t="n">
        <v>168318.96</v>
      </c>
      <c r="H53" s="10" t="n">
        <v>0.7353</v>
      </c>
      <c r="I53" s="9" t="n">
        <v>115425.9260143</v>
      </c>
      <c r="J53" s="9" t="n">
        <v>57460</v>
      </c>
      <c r="K53" s="9" t="n">
        <v>217077.80205018</v>
      </c>
      <c r="L53" s="11" t="n">
        <v>-48758.85</v>
      </c>
      <c r="M53" s="21" t="n">
        <v>-0.213</v>
      </c>
      <c r="N53" s="9" t="n">
        <v>0</v>
      </c>
      <c r="O53" s="9" t="n">
        <v>8751258.560000001</v>
      </c>
      <c r="P53" s="9" t="n">
        <v>8702499.720000001</v>
      </c>
      <c r="Q53" s="9" t="n">
        <v>48758.84530102997</v>
      </c>
      <c r="R53" s="12" t="n">
        <v>99.90000000000001</v>
      </c>
      <c r="S53" s="13" t="n">
        <v>14</v>
      </c>
      <c r="T53" s="9" t="n">
        <v>12720000</v>
      </c>
      <c r="U53" s="11" t="n">
        <v>-4017500.28</v>
      </c>
    </row>
    <row r="54" ht="18" customHeight="1">
      <c r="A54" s="22" t="inlineStr">
        <is>
          <t>GESAMT / ENDWERT</t>
        </is>
      </c>
      <c r="B54" s="23" t="n"/>
      <c r="C54" s="24" t="n">
        <v>3726691.93</v>
      </c>
      <c r="D54" s="24" t="n">
        <v>3572691.93</v>
      </c>
      <c r="E54" s="24" t="n">
        <v>154000</v>
      </c>
      <c r="F54" s="24" t="n">
        <v>1045307.3</v>
      </c>
      <c r="G54" s="24" t="n">
        <v>2681384.63</v>
      </c>
      <c r="H54" s="25" t="n">
        <v>0.5611</v>
      </c>
      <c r="I54" s="24" t="n">
        <v>4199599.74</v>
      </c>
      <c r="J54" s="24" t="n">
        <v>1018390</v>
      </c>
      <c r="K54" s="24" t="n">
        <v>6698884.92</v>
      </c>
      <c r="L54" s="24" t="n">
        <v>-4017500.28</v>
      </c>
      <c r="M54" s="25" t="n">
        <v>-7.5089</v>
      </c>
      <c r="N54" s="24" t="n">
        <v>12720000</v>
      </c>
      <c r="O54" s="23" t="n"/>
      <c r="P54" s="24" t="n">
        <v>8702499.720000001</v>
      </c>
      <c r="Q54" s="24" t="n">
        <v>3589391.26</v>
      </c>
      <c r="R54" s="26" t="n">
        <v>99.90000000000001</v>
      </c>
      <c r="S54" s="27" t="n">
        <v>14</v>
      </c>
      <c r="T54" s="24" t="n">
        <v>12720000</v>
      </c>
      <c r="U54" s="24" t="n">
        <v>-4017500.28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5" customWidth="1" min="3" max="3"/>
    <col width="15" customWidth="1" min="4" max="4"/>
    <col width="15" customWidth="1" min="5" max="5"/>
    <col width="13" customWidth="1" min="6" max="6"/>
    <col width="15" customWidth="1" min="7" max="7"/>
    <col width="15" customWidth="1" min="8" max="8"/>
    <col width="13" customWidth="1" min="9" max="9"/>
    <col width="12" customWidth="1" min="10" max="10"/>
    <col width="15" customWidth="1" min="11" max="11"/>
    <col width="16" customWidth="1" min="12" max="12"/>
    <col width="14" customWidth="1" min="13" max="13"/>
    <col width="16" customWidth="1" min="14" max="14"/>
    <col width="16" customWidth="1" min="15" max="15"/>
    <col width="16" customWidth="1" min="16" max="16"/>
    <col width="11" customWidth="1" min="17" max="17"/>
  </cols>
  <sheetData>
    <row r="1" ht="36" customHeight="1">
      <c r="A1" s="1" t="inlineStr">
        <is>
          <t>Jahr</t>
        </is>
      </c>
      <c r="B1" s="1" t="inlineStr">
        <is>
          <t>Monate</t>
        </is>
      </c>
      <c r="C1" s="1" t="inlineStr">
        <is>
          <t>Revenue €</t>
        </is>
      </c>
      <c r="D1" s="1" t="inlineStr">
        <is>
          <t>COGS €</t>
        </is>
      </c>
      <c r="E1" s="1" t="inlineStr">
        <is>
          <t>Gross Profit €</t>
        </is>
      </c>
      <c r="F1" s="1" t="inlineStr">
        <is>
          <t>Gross Margin %</t>
        </is>
      </c>
      <c r="G1" s="1" t="inlineStr">
        <is>
          <t>Total OpEx €</t>
        </is>
      </c>
      <c r="H1" s="1" t="inlineStr">
        <is>
          <t>EBITDA €</t>
        </is>
      </c>
      <c r="I1" s="1" t="inlineStr">
        <is>
          <t>EBITDA Margin %</t>
        </is>
      </c>
      <c r="J1" s="1" t="inlineStr">
        <is>
          <t>Steuern €</t>
        </is>
      </c>
      <c r="K1" s="1" t="inlineStr">
        <is>
          <t>Net Profit €</t>
        </is>
      </c>
      <c r="L1" s="1" t="inlineStr">
        <is>
          <t>Min. Cash-Stand €</t>
        </is>
      </c>
      <c r="M1" s="1" t="inlineStr">
        <is>
          <t>Ø Monatl. Burn €</t>
        </is>
      </c>
      <c r="N1" s="1" t="inlineStr">
        <is>
          <t>Cash Jahresende €</t>
        </is>
      </c>
      <c r="O1" s="1" t="inlineStr">
        <is>
          <t>Eigenkapital kum. €</t>
        </is>
      </c>
      <c r="P1" s="1" t="inlineStr">
        <is>
          <t>Net Income kum. €</t>
        </is>
      </c>
      <c r="Q1" s="1" t="inlineStr">
        <is>
          <t>Quick Ratio</t>
        </is>
      </c>
    </row>
    <row r="2">
      <c r="A2" s="28" t="n">
        <v>2026</v>
      </c>
      <c r="B2" s="29" t="n">
        <v>9</v>
      </c>
      <c r="C2" s="9" t="n">
        <v>3150</v>
      </c>
      <c r="D2" s="9" t="n">
        <v>2788.75</v>
      </c>
      <c r="E2" s="9" t="n">
        <v>361.25</v>
      </c>
      <c r="F2" s="10" t="n">
        <v>0.1147</v>
      </c>
      <c r="G2" s="9" t="n">
        <v>206097</v>
      </c>
      <c r="H2" s="11" t="n">
        <v>-205735.75</v>
      </c>
      <c r="I2" s="21" t="n">
        <v>-65.3129</v>
      </c>
      <c r="J2" s="9" t="n">
        <v>0</v>
      </c>
      <c r="K2" s="11" t="n">
        <v>-205735.75</v>
      </c>
      <c r="L2" s="11" t="n">
        <v>-6226</v>
      </c>
      <c r="M2" s="9" t="n">
        <v>23209.5278</v>
      </c>
      <c r="N2" s="9" t="n">
        <v>514264.25</v>
      </c>
      <c r="O2" s="9" t="n">
        <v>720000</v>
      </c>
      <c r="P2" s="11" t="n">
        <v>-205735.75</v>
      </c>
      <c r="Q2" s="30" t="n">
        <v>122.6349</v>
      </c>
    </row>
    <row r="3">
      <c r="A3" s="31" t="n">
        <v>2027</v>
      </c>
      <c r="B3" s="32" t="n">
        <v>12</v>
      </c>
      <c r="C3" s="15" t="n">
        <v>86105.5</v>
      </c>
      <c r="D3" s="15" t="n">
        <v>34492.6375</v>
      </c>
      <c r="E3" s="15" t="n">
        <v>51612.8625</v>
      </c>
      <c r="F3" s="17" t="n">
        <v>0.5994</v>
      </c>
      <c r="G3" s="15" t="n">
        <v>940800.5433</v>
      </c>
      <c r="H3" s="16" t="n">
        <v>-889187.6808</v>
      </c>
      <c r="I3" s="20" t="n">
        <v>-10.3267</v>
      </c>
      <c r="J3" s="15" t="n">
        <v>0</v>
      </c>
      <c r="K3" s="16" t="n">
        <v>-889187.6808</v>
      </c>
      <c r="L3" s="15" t="n">
        <v>95353.3567</v>
      </c>
      <c r="M3" s="15" t="n">
        <v>81274.4317</v>
      </c>
      <c r="N3" s="15" t="n">
        <v>1625076.5692</v>
      </c>
      <c r="O3" s="15" t="n">
        <v>2720000</v>
      </c>
      <c r="P3" s="16" t="n">
        <v>-1094923.4308</v>
      </c>
      <c r="Q3" s="33" t="n">
        <v>142.34</v>
      </c>
    </row>
    <row r="4">
      <c r="A4" s="28" t="n">
        <v>2028</v>
      </c>
      <c r="B4" s="29" t="n">
        <v>12</v>
      </c>
      <c r="C4" s="9" t="n">
        <v>603034.7783</v>
      </c>
      <c r="D4" s="9" t="n">
        <v>185060.8695</v>
      </c>
      <c r="E4" s="9" t="n">
        <v>417973.9089</v>
      </c>
      <c r="F4" s="10" t="n">
        <v>0.6931</v>
      </c>
      <c r="G4" s="9" t="n">
        <v>1797661.6386</v>
      </c>
      <c r="H4" s="11" t="n">
        <v>-1379687.7297</v>
      </c>
      <c r="I4" s="21" t="n">
        <v>-2.2879</v>
      </c>
      <c r="J4" s="9" t="n">
        <v>0</v>
      </c>
      <c r="K4" s="11" t="n">
        <v>-1379687.7297</v>
      </c>
      <c r="L4" s="9" t="n">
        <v>897928.3846</v>
      </c>
      <c r="M4" s="9" t="n">
        <v>165226.8757</v>
      </c>
      <c r="N4" s="9" t="n">
        <v>10245388.8395</v>
      </c>
      <c r="O4" s="9" t="n">
        <v>12720000</v>
      </c>
      <c r="P4" s="11" t="n">
        <v>-2474611.1605</v>
      </c>
      <c r="Q4" s="30" t="n">
        <v>545.5539</v>
      </c>
    </row>
    <row r="5">
      <c r="A5" s="31" t="n">
        <v>2029</v>
      </c>
      <c r="B5" s="32" t="n">
        <v>12</v>
      </c>
      <c r="C5" s="15" t="n">
        <v>1553296.0389</v>
      </c>
      <c r="D5" s="15" t="n">
        <v>430347.401</v>
      </c>
      <c r="E5" s="15" t="n">
        <v>1122948.638</v>
      </c>
      <c r="F5" s="17" t="n">
        <v>0.7229</v>
      </c>
      <c r="G5" s="15" t="n">
        <v>2273087.6631</v>
      </c>
      <c r="H5" s="16" t="n">
        <v>-1150139.0251</v>
      </c>
      <c r="I5" s="20" t="n">
        <v>-0.7405</v>
      </c>
      <c r="J5" s="15" t="n">
        <v>0</v>
      </c>
      <c r="K5" s="16" t="n">
        <v>-1150139.0251</v>
      </c>
      <c r="L5" s="15" t="n">
        <v>9095249.8144</v>
      </c>
      <c r="M5" s="15" t="n">
        <v>225286.2553</v>
      </c>
      <c r="N5" s="15" t="n">
        <v>9095249.8144</v>
      </c>
      <c r="O5" s="15" t="n">
        <v>12720000</v>
      </c>
      <c r="P5" s="16" t="n">
        <v>-3624750.1856</v>
      </c>
      <c r="Q5" s="33" t="n">
        <v>365.1788</v>
      </c>
    </row>
    <row r="6">
      <c r="A6" s="28" t="n">
        <v>2030</v>
      </c>
      <c r="B6" s="29" t="n">
        <v>7</v>
      </c>
      <c r="C6" s="9" t="n">
        <v>1481105.6145</v>
      </c>
      <c r="D6" s="9" t="n">
        <v>392617.6404</v>
      </c>
      <c r="E6" s="9" t="n">
        <v>1088487.9741</v>
      </c>
      <c r="F6" s="10" t="n">
        <v>0.7349</v>
      </c>
      <c r="G6" s="9" t="n">
        <v>1481238.0701</v>
      </c>
      <c r="H6" s="11" t="n">
        <v>-392750.096</v>
      </c>
      <c r="I6" s="21" t="n">
        <v>-0.2652</v>
      </c>
      <c r="J6" s="9" t="n">
        <v>0</v>
      </c>
      <c r="K6" s="11" t="n">
        <v>-392750.096</v>
      </c>
      <c r="L6" s="9" t="n">
        <v>8702499.7184</v>
      </c>
      <c r="M6" s="9" t="n">
        <v>267693.6729</v>
      </c>
      <c r="N6" s="9" t="n">
        <v>8702499.7184</v>
      </c>
      <c r="O6" s="9" t="n">
        <v>12720000</v>
      </c>
      <c r="P6" s="11" t="n">
        <v>-4017500.2816</v>
      </c>
      <c r="Q6" s="30" t="n">
        <v>313.3936</v>
      </c>
    </row>
    <row r="8" ht="18" customHeight="1">
      <c r="A8" s="22" t="inlineStr">
        <is>
          <t>Gesamt</t>
        </is>
      </c>
      <c r="B8" s="34" t="n">
        <v>52</v>
      </c>
      <c r="C8" s="24" t="n">
        <v>3726691.93</v>
      </c>
      <c r="D8" s="24" t="n">
        <v>1045307.3</v>
      </c>
      <c r="E8" s="24" t="n">
        <v>2681384.63</v>
      </c>
      <c r="F8" s="35" t="n">
        <v>0.7195</v>
      </c>
      <c r="G8" s="24" t="n">
        <v>6698884.92</v>
      </c>
      <c r="H8" s="24" t="n">
        <v>-4017500.28</v>
      </c>
      <c r="I8" s="35" t="n">
        <v>-1.078</v>
      </c>
      <c r="J8" s="24" t="n">
        <v>0</v>
      </c>
      <c r="K8" s="24" t="n">
        <v>-4017500.28</v>
      </c>
      <c r="L8" s="34" t="n"/>
      <c r="M8" s="34" t="n"/>
      <c r="N8" s="24" t="n">
        <v>8702499.720000001</v>
      </c>
      <c r="O8" s="24" t="n">
        <v>12720000</v>
      </c>
      <c r="P8" s="24" t="n">
        <v>-4017500.28</v>
      </c>
      <c r="Q8" s="3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16" customWidth="1" min="9" max="9"/>
    <col width="11" customWidth="1" min="10" max="10"/>
    <col width="14" customWidth="1" min="11" max="11"/>
  </cols>
  <sheetData>
    <row r="1" ht="36" customHeight="1">
      <c r="A1" s="1" t="inlineStr">
        <is>
          <t>Jahr</t>
        </is>
      </c>
      <c r="B1" s="1" t="inlineStr">
        <is>
          <t>Cash €</t>
        </is>
      </c>
      <c r="C1" s="1" t="inlineStr">
        <is>
          <t>Debitoren €</t>
        </is>
      </c>
      <c r="D1" s="1" t="inlineStr">
        <is>
          <t>R&amp;D Immateriel €</t>
        </is>
      </c>
      <c r="E1" s="1" t="inlineStr">
        <is>
          <t>Kreditoren €</t>
        </is>
      </c>
      <c r="F1" s="1" t="inlineStr">
        <is>
          <t>Fremdkapital €</t>
        </is>
      </c>
      <c r="G1" s="1" t="inlineStr">
        <is>
          <t>Net Assets €</t>
        </is>
      </c>
      <c r="H1" s="1" t="inlineStr">
        <is>
          <t>Ges. EK-Investment €</t>
        </is>
      </c>
      <c r="I1" s="1" t="inlineStr">
        <is>
          <t>Kum. Net Income €</t>
        </is>
      </c>
      <c r="J1" s="1" t="inlineStr">
        <is>
          <t>Quick Ratio</t>
        </is>
      </c>
      <c r="K1" s="1" t="inlineStr">
        <is>
          <t>Bilanzsumme Check</t>
        </is>
      </c>
    </row>
    <row r="2">
      <c r="A2" s="28" t="n">
        <v>2026</v>
      </c>
      <c r="B2" s="9" t="n">
        <v>514264.25</v>
      </c>
      <c r="C2" s="9" t="n">
        <v>1050</v>
      </c>
      <c r="D2" s="9" t="n">
        <v>0</v>
      </c>
      <c r="E2" s="9" t="n">
        <v>4193.46</v>
      </c>
      <c r="F2" s="9" t="n">
        <v>0</v>
      </c>
      <c r="G2" s="9" t="n">
        <v>511120.79</v>
      </c>
      <c r="H2" s="9" t="n">
        <v>720000</v>
      </c>
      <c r="I2" s="11" t="n">
        <v>-205735.75</v>
      </c>
      <c r="J2" s="30" t="n">
        <v>122.63</v>
      </c>
      <c r="K2" s="11" t="n">
        <v>-28143.46</v>
      </c>
    </row>
    <row r="3">
      <c r="A3" s="31" t="n">
        <v>2027</v>
      </c>
      <c r="B3" s="15" t="n">
        <v>1625076.57</v>
      </c>
      <c r="C3" s="15" t="n">
        <v>20385.5</v>
      </c>
      <c r="D3" s="15" t="n">
        <v>0</v>
      </c>
      <c r="E3" s="15" t="n">
        <v>11416.86</v>
      </c>
      <c r="F3" s="15" t="n">
        <v>0</v>
      </c>
      <c r="G3" s="15" t="n">
        <v>1634045.21</v>
      </c>
      <c r="H3" s="15" t="n">
        <v>2720000</v>
      </c>
      <c r="I3" s="16" t="n">
        <v>-1094923.43</v>
      </c>
      <c r="J3" s="33" t="n">
        <v>142.34</v>
      </c>
      <c r="K3" s="16" t="n">
        <v>-16031.36</v>
      </c>
    </row>
    <row r="4">
      <c r="A4" s="28" t="n">
        <v>2028</v>
      </c>
      <c r="B4" s="9" t="n">
        <v>10245388.84</v>
      </c>
      <c r="C4" s="9" t="n">
        <v>92361.2</v>
      </c>
      <c r="D4" s="9" t="n">
        <v>0</v>
      </c>
      <c r="E4" s="9" t="n">
        <v>18779.79</v>
      </c>
      <c r="F4" s="9" t="n">
        <v>0</v>
      </c>
      <c r="G4" s="9" t="n">
        <v>10318970.25</v>
      </c>
      <c r="H4" s="9" t="n">
        <v>12720000</v>
      </c>
      <c r="I4" s="11" t="n">
        <v>-2474611.16</v>
      </c>
      <c r="J4" s="30" t="n">
        <v>545.55</v>
      </c>
      <c r="K4" s="9" t="n">
        <v>48581.41</v>
      </c>
    </row>
    <row r="5">
      <c r="A5" s="31" t="n">
        <v>2029</v>
      </c>
      <c r="B5" s="15" t="n">
        <v>9095249.810000001</v>
      </c>
      <c r="C5" s="15" t="n">
        <v>171516.72</v>
      </c>
      <c r="D5" s="15" t="n">
        <v>0</v>
      </c>
      <c r="E5" s="15" t="n">
        <v>24906.29</v>
      </c>
      <c r="F5" s="15" t="n">
        <v>0</v>
      </c>
      <c r="G5" s="15" t="n">
        <v>9241860.24</v>
      </c>
      <c r="H5" s="15" t="n">
        <v>12720000</v>
      </c>
      <c r="I5" s="16" t="n">
        <v>-3624750.19</v>
      </c>
      <c r="J5" s="33" t="n">
        <v>365.18</v>
      </c>
      <c r="K5" s="15" t="n">
        <v>121610.43</v>
      </c>
    </row>
    <row r="6">
      <c r="A6" s="28" t="n">
        <v>2030</v>
      </c>
      <c r="B6" s="9" t="n">
        <v>8702499.720000001</v>
      </c>
      <c r="C6" s="9" t="n">
        <v>228927.14</v>
      </c>
      <c r="D6" s="9" t="n">
        <v>0</v>
      </c>
      <c r="E6" s="9" t="n">
        <v>27768.6</v>
      </c>
      <c r="F6" s="9" t="n">
        <v>0</v>
      </c>
      <c r="G6" s="9" t="n">
        <v>8903658.26</v>
      </c>
      <c r="H6" s="9" t="n">
        <v>12720000</v>
      </c>
      <c r="I6" s="11" t="n">
        <v>-4017500.28</v>
      </c>
      <c r="J6" s="30" t="n">
        <v>313.39</v>
      </c>
      <c r="K6" s="9" t="n">
        <v>176158.54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61:A61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61">
      <c r="A61" s="36" t="inlineStr">
        <is>
          <t>Charts basieren auf Monthly- und Annual-Sheet. Daten-Quelle: 260312_LFL_BM_Vorlage_v19.xlsx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B1:C5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70" customWidth="1" min="3" max="3"/>
  </cols>
  <sheetData>
    <row r="1" ht="15" customHeight="1">
      <c r="B1" s="37" t="inlineStr">
        <is>
          <t>LoopforgeLab GmbH – Financial Story für Investoren</t>
        </is>
      </c>
    </row>
    <row r="2" ht="15" customHeight="1">
      <c r="B2" s="38" t="inlineStr">
        <is>
          <t>Projektion: April 2026 – Juli 2030 | 52 Monate | Stand: 13.03.2026</t>
        </is>
      </c>
    </row>
    <row r="3" ht="8" customHeight="1"/>
    <row r="4" ht="20" customHeight="1">
      <c r="B4" s="39" t="inlineStr">
        <is>
          <t>SLIDE 1: Geschäftsmodell &amp; Marktchance</t>
        </is>
      </c>
    </row>
    <row r="5" ht="15" customHeight="1">
      <c r="C5" s="40" t="inlineStr">
        <is>
          <t>• B2B SaaS-Plattform für industrielle Fertigungsunternehmen (SME / Mid / Enterprise)</t>
        </is>
      </c>
    </row>
    <row r="6" ht="15" customHeight="1">
      <c r="C6" s="40" t="inlineStr">
        <is>
          <t>• 3 Revenue-Streams: Seat-Abonnements (SME/Mid) + Enterprise Jahres-Fee + Impl.-Support</t>
        </is>
      </c>
    </row>
    <row r="7" ht="15" customHeight="1">
      <c r="C7" s="40" t="inlineStr">
        <is>
          <t>• Seat-Preis SME: 350 €/Seat/Monat | Enterprise Fee: 25.000 €/Jahr</t>
        </is>
      </c>
    </row>
    <row r="8" ht="15" customHeight="1">
      <c r="C8" s="40" t="inlineStr">
        <is>
          <t>• Net Revenue Retention: 115 % | Churn: 10 % p.a.</t>
        </is>
      </c>
    </row>
    <row r="9" ht="15" customHeight="1">
      <c r="C9" s="40" t="inlineStr">
        <is>
          <t>• AI-First-Ansatz: KI reduziert Headcount-Wachstum, erhöht Skalierbarkeit</t>
        </is>
      </c>
    </row>
    <row r="10" ht="8" customHeight="1"/>
    <row r="11" ht="20" customHeight="1">
      <c r="B11" s="39" t="inlineStr">
        <is>
          <t>SLIDE 2: Umsatzentwicklung &amp; Wachstum</t>
        </is>
      </c>
    </row>
    <row r="12" ht="15" customHeight="1">
      <c r="C12" s="40" t="inlineStr">
        <is>
          <t>• Erster zahlender Kunde: Monat 7 (Oktober 2026)</t>
        </is>
      </c>
    </row>
    <row r="13" ht="15" customHeight="1">
      <c r="C13" s="40" t="inlineStr">
        <is>
          <t>• ARR Ende 2026 (M9):        12,600 € (9 aktive SME-Seats)</t>
        </is>
      </c>
    </row>
    <row r="14" ht="15" customHeight="1">
      <c r="C14" s="40" t="inlineStr">
        <is>
          <t>• ARR Ende 2027 (M21):      220,626 € | MRR:     18,386 €</t>
        </is>
      </c>
    </row>
    <row r="15" ht="15" customHeight="1">
      <c r="C15" s="40" t="inlineStr">
        <is>
          <t>• ARR Ende 2028 (M33):      988,334 € | MRR:     82,361 €</t>
        </is>
      </c>
    </row>
    <row r="16" ht="15" customHeight="1">
      <c r="C16" s="40" t="inlineStr">
        <is>
          <t>• ARR Ende 2029 (M45):    2,022,201 € | MRR:    168,517 €</t>
        </is>
      </c>
    </row>
    <row r="17" ht="15" customHeight="1">
      <c r="C17" s="40" t="inlineStr">
        <is>
          <t>• ARR Juli 2030 (M52):    2,711,126 € | MRR:    225,927 €</t>
        </is>
      </c>
    </row>
    <row r="18" ht="15" customHeight="1">
      <c r="C18" s="40" t="inlineStr">
        <is>
          <t>• Gesamtumsatz M1–M52:    3,726,692 €</t>
        </is>
      </c>
    </row>
    <row r="19" ht="8" customHeight="1"/>
    <row r="20" ht="20" customHeight="1">
      <c r="B20" s="39" t="inlineStr">
        <is>
          <t>SLIDE 3: Finanzierungsrunden &amp; Kapitalbedarf</t>
        </is>
      </c>
    </row>
    <row r="21" ht="15" customHeight="1">
      <c r="C21" s="40" t="inlineStr">
        <is>
          <t>• Gesamtes eingesetztes Eigenkapital (M1–M52): 12,720,000 €</t>
        </is>
      </c>
    </row>
    <row r="22" ht="15" customHeight="1">
      <c r="C22" s="40" t="inlineStr">
        <is>
          <t xml:space="preserve">  – Jul 2026 (M4):      320,000 € Equity-Zufluss</t>
        </is>
      </c>
    </row>
    <row r="23" ht="15" customHeight="1">
      <c r="C23" s="40" t="inlineStr">
        <is>
          <t xml:space="preserve">  – Aug 2026 (M5):      200,000 € Equity-Zufluss</t>
        </is>
      </c>
    </row>
    <row r="24" ht="15" customHeight="1">
      <c r="C24" s="40" t="inlineStr">
        <is>
          <t xml:space="preserve">  – Nov 2026 (M8):      200,000 € Equity-Zufluss</t>
        </is>
      </c>
    </row>
    <row r="25" ht="15" customHeight="1">
      <c r="C25" s="40" t="inlineStr">
        <is>
          <t xml:space="preserve">  – Aug 2027 (M17):    2,000,000 € Equity-Zufluss</t>
        </is>
      </c>
    </row>
    <row r="26" ht="15" customHeight="1">
      <c r="C26" s="40" t="inlineStr">
        <is>
          <t xml:space="preserve">  – Aug 2028 (M29):   10,000,000 € Equity-Zufluss</t>
        </is>
      </c>
    </row>
    <row r="27" ht="15" customHeight="1">
      <c r="C27" s="40" t="inlineStr">
        <is>
          <t>• Höchster Cash-Bestand: 10,674,705 € | Niedrigster: -6,226 €</t>
        </is>
      </c>
    </row>
    <row r="28" ht="15" customHeight="1">
      <c r="C28" s="40" t="inlineStr">
        <is>
          <t>• Durchschnittlicher monatlicher Burn: 148,927 €/Monat</t>
        </is>
      </c>
    </row>
    <row r="29" ht="15" customHeight="1">
      <c r="C29" s="40" t="inlineStr">
        <is>
          <t>• Cash-Runway Ende M52 (Jul 2030): 178.5 Monate bei aktuellem Burn</t>
        </is>
      </c>
    </row>
    <row r="30" ht="8" customHeight="1"/>
    <row r="31" ht="20" customHeight="1">
      <c r="B31" s="39" t="inlineStr">
        <is>
          <t>SLIDE 4: P&amp;L Entwicklung &amp; Pfad zur Profitabilität</t>
        </is>
      </c>
    </row>
    <row r="32" ht="15" customHeight="1">
      <c r="C32" s="40" t="inlineStr">
        <is>
          <t>• Gross Margin (M52): 73.5% | Ziel: &gt;70 % bei Scale</t>
        </is>
      </c>
    </row>
    <row r="33" ht="15" customHeight="1">
      <c r="C33" s="40" t="inlineStr">
        <is>
          <t>• EBITDA M52: -48,759 € | Verbesserung ggü. M1 (-2,075 €)</t>
        </is>
      </c>
    </row>
    <row r="34" ht="15" customHeight="1">
      <c r="C34" s="40" t="inlineStr">
        <is>
          <t>• Kumuliertes Net Income M1–M52: -4,017,500 €</t>
        </is>
      </c>
    </row>
    <row r="35" ht="15" customHeight="1">
      <c r="C35" s="40" t="inlineStr">
        <is>
          <t>• Break-even-Jahr (Net Profit &gt; 0): Noch nicht erreicht (M52)</t>
        </is>
      </c>
    </row>
    <row r="36" ht="15" customHeight="1">
      <c r="C36" s="40" t="inlineStr">
        <is>
          <t>• Profitabilitätshebel: Umsatzwachstum übersteigt OpEx-Wachstum ab Series A</t>
        </is>
      </c>
    </row>
    <row r="37" ht="15" customHeight="1">
      <c r="C37" s="40" t="inlineStr">
        <is>
          <t>• Headcount M52: 14 MA | AI-First verhindert lineare Skalierung</t>
        </is>
      </c>
    </row>
    <row r="38" ht="8" customHeight="1"/>
    <row r="39" ht="20" customHeight="1">
      <c r="B39" s="39" t="inlineStr">
        <is>
          <t>SLIDE 5: Key KPIs &amp; Investment Highlights</t>
        </is>
      </c>
    </row>
    <row r="40" ht="15" customHeight="1">
      <c r="C40" s="40" t="inlineStr">
        <is>
          <t>• MRR-Wachstum Gesamt: 21417% (von erstem zahlenden Monat bis M52)</t>
        </is>
      </c>
    </row>
    <row r="41" ht="15" customHeight="1">
      <c r="C41" s="40" t="inlineStr">
        <is>
          <t>• Aktive Seats M52: 514 (SME + Mid) | Enterprise-Kunden: 10</t>
        </is>
      </c>
    </row>
    <row r="42" ht="15" customHeight="1">
      <c r="C42" s="40" t="inlineStr">
        <is>
          <t>• Ø Gross Margin über 52 Monate: 56.1%</t>
        </is>
      </c>
    </row>
    <row r="43" ht="15" customHeight="1">
      <c r="C43" s="40" t="inlineStr">
        <is>
          <t>• CAC gedeckt durch: Implementation-Support-Revenue in M1 des Kunden</t>
        </is>
      </c>
    </row>
    <row r="44" ht="15" customHeight="1">
      <c r="C44" s="40" t="inlineStr">
        <is>
          <t>• LTV/CAC: &gt;3x bei NRR 115% (SaaS-Benchmark für skalierbares Modell)</t>
        </is>
      </c>
    </row>
    <row r="45" ht="8" customHeight="1"/>
    <row r="46" ht="20" customHeight="1">
      <c r="B46" s="39" t="inlineStr">
        <is>
          <t>EMPFOHLENE CHARTS FÜR PITCH DECK</t>
        </is>
      </c>
    </row>
    <row r="47" ht="15" customHeight="1">
      <c r="C47" s="40" t="inlineStr">
        <is>
          <t>• Chart A: ARR-Wachstumskurve 2026–2030 (Exponentiell, zeigt PMF)</t>
        </is>
      </c>
    </row>
    <row r="48" ht="15" customHeight="1">
      <c r="C48" s="40" t="inlineStr">
        <is>
          <t>• Chart B: Cash-Runway-Waterfall (zeigt Finanzierungsbedarf + Runway)</t>
        </is>
      </c>
    </row>
    <row r="49" ht="15" customHeight="1">
      <c r="C49" s="40" t="inlineStr">
        <is>
          <t>• Chart C: Revenue vs. Burn Rate (zeigt Weg zur Profitabilität)</t>
        </is>
      </c>
    </row>
    <row r="50" ht="15" customHeight="1">
      <c r="C50" s="40" t="inlineStr">
        <is>
          <t>• Chart D: Headcount vs. ARR/FTE (zeigt AI-First-Effizienz)</t>
        </is>
      </c>
    </row>
    <row r="51" ht="8" customHeight="1"/>
    <row r="52" ht="20" customHeight="1">
      <c r="B52" s="39" t="inlineStr">
        <is>
          <t>RISIKOHINWEISE (C13 Stress-Test)</t>
        </is>
      </c>
    </row>
    <row r="53" ht="15" customHeight="1">
      <c r="C53" s="40" t="inlineStr">
        <is>
          <t>• ⚠  M1–M3: Negativer Cash (bis -6.226 €) – Startkapital vor Beginn einplanen</t>
        </is>
      </c>
    </row>
    <row r="54" ht="15" customHeight="1">
      <c r="C54" s="40" t="inlineStr">
        <is>
          <t>• ⚠  Break-even nicht in 52 Monaten erreicht – Series A (M29) ist entscheidend</t>
        </is>
      </c>
    </row>
    <row r="55" ht="15" customHeight="1">
      <c r="C55" s="40" t="inlineStr">
        <is>
          <t>• ℹ  R&amp;D nicht bilanziert (alle Kosten im OpEx) – Optimierungspotenzial für EBIT</t>
        </is>
      </c>
    </row>
    <row r="56" ht="15" customHeight="1">
      <c r="C56" s="40" t="inlineStr">
        <is>
          <t>• ℹ  Szenarien: 'Normal' zeigt ersten Kunden in M7 – Verzögerung erhöht Burn</t>
        </is>
      </c>
    </row>
    <row r="58">
      <c r="B58" s="36" t="inlineStr">
        <is>
          <t>Alle Zahlen auf Basis LFL_BM_Vorlage_v19 | Szenario: Gering | Erstellt: 13.03.2026 14:58 | Währung: EUR</t>
        </is>
      </c>
    </row>
  </sheetData>
  <mergeCells count="10">
    <mergeCell ref="B39:C39"/>
    <mergeCell ref="B52:C52"/>
    <mergeCell ref="B2:C2"/>
    <mergeCell ref="B11:C11"/>
    <mergeCell ref="B20:C20"/>
    <mergeCell ref="B46:C46"/>
    <mergeCell ref="B31:C31"/>
    <mergeCell ref="B1:C1"/>
    <mergeCell ref="B4:C4"/>
    <mergeCell ref="B58:C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95959"/>
    <outlinePr summaryBelow="1" summaryRight="1"/>
    <pageSetUpPr/>
  </sheetPr>
  <dimension ref="A1:H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2" customWidth="1" min="3" max="3"/>
    <col width="20" customWidth="1" min="4" max="4"/>
    <col width="30" customWidth="1" min="5" max="5"/>
    <col width="50" customWidth="1" min="6" max="6"/>
    <col width="10" customWidth="1" min="7" max="7"/>
    <col width="42" customWidth="1" min="8" max="8"/>
  </cols>
  <sheetData>
    <row r="1" ht="30" customHeight="1">
      <c r="A1" s="41" t="inlineStr">
        <is>
          <t>SZENARIO: GERING</t>
        </is>
      </c>
      <c r="B1" s="42" t="n"/>
      <c r="C1" s="43" t="inlineStr">
        <is>
          <t>Quelldatei: 260312_LFL_BM_Vorlage_v19.xlsx  │  Unternehmen: LoopforgeLab GmbH  │  Start: 01.04.2026  │  Währung: EUR  │  Erstellt: 13.03.2026 14:58</t>
        </is>
      </c>
      <c r="D1" s="42" t="n"/>
      <c r="E1" s="42" t="n"/>
      <c r="F1" s="42" t="n"/>
      <c r="G1" s="42" t="n"/>
      <c r="H1" s="42" t="n"/>
    </row>
    <row r="2" ht="36" customHeight="1">
      <c r="A2" s="1" t="inlineStr">
        <is>
          <t>Ziel-Sheet</t>
        </is>
      </c>
      <c r="B2" s="1" t="inlineStr">
        <is>
          <t>Ziel-Spalte</t>
        </is>
      </c>
      <c r="C2" s="1" t="inlineStr">
        <is>
          <t>Was wird gemessen?</t>
        </is>
      </c>
      <c r="D2" s="1" t="inlineStr">
        <is>
          <t>Quell-Sheet (v19)</t>
        </is>
      </c>
      <c r="E2" s="1" t="inlineStr">
        <is>
          <t>Quell-Zeile / Variable</t>
        </is>
      </c>
      <c r="F2" s="1" t="inlineStr">
        <is>
          <t>Formel / Logik</t>
        </is>
      </c>
      <c r="G2" s="1" t="inlineStr">
        <is>
          <t>Einheit</t>
        </is>
      </c>
      <c r="H2" s="1" t="inlineStr">
        <is>
          <t>C13-Mapping-Regel</t>
        </is>
      </c>
    </row>
    <row r="3" ht="20" customHeight="1">
      <c r="A3" s="44" t="inlineStr">
        <is>
          <t>── MONTHLY ──</t>
        </is>
      </c>
      <c r="B3" s="45" t="n"/>
      <c r="C3" s="45" t="n"/>
      <c r="D3" s="45" t="n"/>
      <c r="E3" s="45" t="n"/>
      <c r="F3" s="45" t="n"/>
      <c r="G3" s="45" t="n"/>
      <c r="H3" s="45" t="n"/>
    </row>
    <row r="4" ht="45" customHeight="1">
      <c r="A4" s="46" t="inlineStr">
        <is>
          <t>Monthly</t>
        </is>
      </c>
      <c r="B4" s="47" t="inlineStr">
        <is>
          <t>Monat</t>
        </is>
      </c>
      <c r="C4" s="48" t="inlineStr">
        <is>
          <t>Kalendermonat der Projektion (Apr 2026 = M1, Jul 2030 = M52)</t>
        </is>
      </c>
      <c r="D4" s="48" t="inlineStr">
        <is>
          <t>—</t>
        </is>
      </c>
      <c r="E4" s="48" t="inlineStr">
        <is>
          <t>Berechnet</t>
        </is>
      </c>
      <c r="F4" s="48" t="inlineStr">
        <is>
          <t>Startdatum 01.04.2026 + (m-1) Monate</t>
        </is>
      </c>
      <c r="G4" s="48" t="inlineStr">
        <is>
          <t>Label</t>
        </is>
      </c>
      <c r="H4" s="48" t="inlineStr">
        <is>
          <t>Zeitachse des Modells</t>
        </is>
      </c>
    </row>
    <row r="5" ht="45" customHeight="1">
      <c r="A5" s="49" t="inlineStr">
        <is>
          <t>Monthly</t>
        </is>
      </c>
      <c r="B5" s="50" t="inlineStr">
        <is>
          <t>Phase</t>
        </is>
      </c>
      <c r="C5" s="51" t="inlineStr">
        <is>
          <t>Finanzierungsphase des Unternehmens zum jeweiligen Monat</t>
        </is>
      </c>
      <c r="D5" s="51" t="inlineStr">
        <is>
          <t>3_Roadmap</t>
        </is>
      </c>
      <c r="E5" s="51" t="inlineStr">
        <is>
          <t>Zeile 5–9</t>
        </is>
      </c>
      <c r="F5" s="51" t="inlineStr">
        <is>
          <t>M1–4: Ideation | M5–16: Pre-Seed | M17–28: Seed | M29–40: Series A | M41–52: Series B</t>
        </is>
      </c>
      <c r="G5" s="51" t="inlineStr">
        <is>
          <t>Text</t>
        </is>
      </c>
      <c r="H5" s="51" t="inlineStr">
        <is>
          <t>Gibt Kontext zur Burn-Rate-Entwicklung</t>
        </is>
      </c>
    </row>
    <row r="6" ht="45" customHeight="1">
      <c r="A6" s="46" t="inlineStr">
        <is>
          <t>Monthly</t>
        </is>
      </c>
      <c r="B6" s="47" t="inlineStr">
        <is>
          <t>Revenue €</t>
        </is>
      </c>
      <c r="C6" s="48" t="inlineStr">
        <is>
          <t>Gesamtumsatz des Monats aus allen drei Revenue-Streams (Seats + Enterprise + Impl.-Support)</t>
        </is>
      </c>
      <c r="D6" s="48" t="inlineStr">
        <is>
          <t>4_Revenue</t>
        </is>
      </c>
      <c r="E6" s="48" t="inlineStr">
        <is>
          <t>Zeile 32: 'Total Revenue (€/Monat)'</t>
        </is>
      </c>
      <c r="F6" s="48" t="inlineStr">
        <is>
          <t xml:space="preserve"> = SME-Revenue + Mid-Revenue + Enterprise-Revenue + Impl.-Support-Revenue</t>
        </is>
      </c>
      <c r="G6" s="48" t="inlineStr">
        <is>
          <t>€/Monat</t>
        </is>
      </c>
      <c r="H6" s="48" t="inlineStr">
        <is>
          <t>→ C13: 'Revenue' und 'Cash in from Revenue' (Sofort-Zahlung angenommen)</t>
        </is>
      </c>
    </row>
    <row r="7" ht="45" customHeight="1">
      <c r="A7" s="49" t="inlineStr">
        <is>
          <t>Monthly</t>
        </is>
      </c>
      <c r="B7" s="50" t="inlineStr">
        <is>
          <t>MRR €</t>
        </is>
      </c>
      <c r="C7" s="51" t="inlineStr">
        <is>
          <t>Monthly Recurring Revenue: Wiederkehrender Umsatz aus Seat-Abonnements (SME + Mid). Exklusive Einmal-Zahlungen.</t>
        </is>
      </c>
      <c r="D7" s="51" t="inlineStr">
        <is>
          <t>4_Revenue</t>
        </is>
      </c>
      <c r="E7" s="51" t="inlineStr">
        <is>
          <t>Zeile 25: 'MRR – Monthly Recurring Revenue'</t>
        </is>
      </c>
      <c r="F7" s="51" t="inlineStr">
        <is>
          <t xml:space="preserve"> = Active SME-Seats × Seat-Preis + Active Mid-Seats × Mid-Preis</t>
        </is>
      </c>
      <c r="G7" s="51" t="inlineStr">
        <is>
          <t>€/Monat</t>
        </is>
      </c>
      <c r="H7" s="51" t="inlineStr">
        <is>
          <t>SaaS-Kernmetrik: Zeigt skalierbare Umsatzbasis</t>
        </is>
      </c>
    </row>
    <row r="8" ht="45" customHeight="1">
      <c r="A8" s="46" t="inlineStr">
        <is>
          <t>Monthly</t>
        </is>
      </c>
      <c r="B8" s="47" t="inlineStr">
        <is>
          <t>Impl.-Support €</t>
        </is>
      </c>
      <c r="C8" s="48" t="inlineStr">
        <is>
          <t>Einmalige Beratungserlöse aus der Kundeneinführung. Nicht wiederkehrend, aber zeigt Vertriebsaktivität.</t>
        </is>
      </c>
      <c r="D8" s="48" t="inlineStr">
        <is>
          <t>4_Revenue</t>
        </is>
      </c>
      <c r="E8" s="48" t="inlineStr">
        <is>
          <t>Zeile 30: 'Impl.-Support Revenue (€/Monat)'</t>
        </is>
      </c>
      <c r="F8" s="48" t="inlineStr">
        <is>
          <t xml:space="preserve"> = Neue Kunden × Tagessatz × Tage/Kunde × Buchungsquote</t>
        </is>
      </c>
      <c r="G8" s="48" t="inlineStr">
        <is>
          <t>€/Monat</t>
        </is>
      </c>
      <c r="H8" s="48" t="inlineStr">
        <is>
          <t>Services-Revenue; skaliert mit Neukunden</t>
        </is>
      </c>
    </row>
    <row r="9" ht="45" customHeight="1">
      <c r="A9" s="49" t="inlineStr">
        <is>
          <t>Monthly</t>
        </is>
      </c>
      <c r="B9" s="50" t="inlineStr">
        <is>
          <t>COGS €</t>
        </is>
      </c>
      <c r="C9" s="51" t="inlineStr">
        <is>
          <t>Cost of Revenue: Variable Kosten, die direkt mit dem Umsatz entstehen (Hosting, KI-APIs, Payment).</t>
        </is>
      </c>
      <c r="D9" s="51" t="inlineStr">
        <is>
          <t>6_P&amp;L</t>
        </is>
      </c>
      <c r="E9" s="51" t="inlineStr">
        <is>
          <t>Zeile 14: 'TOTAL COGS'</t>
        </is>
      </c>
      <c r="F9" s="51" t="inlineStr">
        <is>
          <t xml:space="preserve"> = Cloud Hosting (variabel, pro Seat) + AI/ML API-Kosten + Payment Processing (2,5% vom Revenue)</t>
        </is>
      </c>
      <c r="G9" s="51" t="inlineStr">
        <is>
          <t>€/Monat</t>
        </is>
      </c>
      <c r="H9" s="51" t="inlineStr">
        <is>
          <t>→ C13: 'CoR Cash Out'</t>
        </is>
      </c>
    </row>
    <row r="10" ht="45" customHeight="1">
      <c r="A10" s="46" t="inlineStr">
        <is>
          <t>Monthly</t>
        </is>
      </c>
      <c r="B10" s="47" t="inlineStr">
        <is>
          <t>Gross Profit €</t>
        </is>
      </c>
      <c r="C10" s="48" t="inlineStr">
        <is>
          <t>Rohertrag: Was nach Abzug der direkten Herstellkosten vom Umsatz verbleibt.</t>
        </is>
      </c>
      <c r="D10" s="48" t="inlineStr">
        <is>
          <t>6_P&amp;L</t>
        </is>
      </c>
      <c r="E10" s="48" t="inlineStr">
        <is>
          <t>Zeile 16: 'GROSS PROFIT'</t>
        </is>
      </c>
      <c r="F10" s="48" t="inlineStr">
        <is>
          <t xml:space="preserve"> = Total Revenue − TOTAL COGS</t>
        </is>
      </c>
      <c r="G10" s="48" t="inlineStr">
        <is>
          <t>€/Monat</t>
        </is>
      </c>
      <c r="H10" s="48" t="inlineStr">
        <is>
          <t>Basis für Gross-Margin-Berechnung</t>
        </is>
      </c>
    </row>
    <row r="11" ht="45" customHeight="1">
      <c r="A11" s="49" t="inlineStr">
        <is>
          <t>Monthly</t>
        </is>
      </c>
      <c r="B11" s="50" t="inlineStr">
        <is>
          <t>Gross Margin %</t>
        </is>
      </c>
      <c r="C11" s="51" t="inlineStr">
        <is>
          <t>Prozentualer Anteil des Rohertrags am Umsatz. Zeigt Effizienz des Geschäftsmodells. SaaS-Benchmark: &gt;70 %.</t>
        </is>
      </c>
      <c r="D11" s="51" t="inlineStr">
        <is>
          <t>6_P&amp;L</t>
        </is>
      </c>
      <c r="E11" s="51" t="inlineStr">
        <is>
          <t>Berechnet aus Zeilen 8 + 14</t>
        </is>
      </c>
      <c r="F11" s="51" t="inlineStr">
        <is>
          <t xml:space="preserve"> = Gross Profit / Total Revenue</t>
        </is>
      </c>
      <c r="G11" s="51" t="inlineStr">
        <is>
          <t>%</t>
        </is>
      </c>
      <c r="H11" s="51" t="inlineStr">
        <is>
          <t>Unter 0 % = COGS übersteigen Umsatz (Früh­phase normal)</t>
        </is>
      </c>
    </row>
    <row r="12" ht="45" customHeight="1">
      <c r="A12" s="46" t="inlineStr">
        <is>
          <t>Monthly</t>
        </is>
      </c>
      <c r="B12" s="47" t="inlineStr">
        <is>
          <t>Personal €</t>
        </is>
      </c>
      <c r="C12" s="48" t="inlineStr">
        <is>
          <t>Gesamte Personalkosten inkl. aller Sozialabgaben (AG-Brutto). Größter Einzelkostenblock.</t>
        </is>
      </c>
      <c r="D12" s="48" t="inlineStr">
        <is>
          <t>5_Costs</t>
        </is>
      </c>
      <c r="E12" s="48" t="inlineStr">
        <is>
          <t>Zeile 13: 'TOTAL PERSONAL'</t>
        </is>
      </c>
      <c r="F12" s="48" t="inlineStr">
        <is>
          <t xml:space="preserve"> = Exec-Gehälter (phasenabhängig) + MA-Gehälter (ab Eintrittsmonat) × (1 + 3 % p.a.) + AG-SV 22 %</t>
        </is>
      </c>
      <c r="G12" s="48" t="inlineStr">
        <is>
          <t>€/Monat</t>
        </is>
      </c>
      <c r="H12" s="48" t="inlineStr">
        <is>
          <t>→ Teil von C13: 'Operating Cash Out'</t>
        </is>
      </c>
    </row>
    <row r="13" ht="45" customHeight="1">
      <c r="A13" s="49" t="inlineStr">
        <is>
          <t>Monthly</t>
        </is>
      </c>
      <c r="B13" s="50" t="inlineStr">
        <is>
          <t>IT &amp; Technik €</t>
        </is>
      </c>
      <c r="C13" s="51" t="inlineStr">
        <is>
          <t>Cloud-Hosting (Basislast), AI/ML-APIs (für interne LFL-MA), SaaS-Tools und Lizenzen.</t>
        </is>
      </c>
      <c r="D13" s="51" t="inlineStr">
        <is>
          <t>5_Costs</t>
        </is>
      </c>
      <c r="E13" s="51" t="inlineStr">
        <is>
          <t>Zeile 18: 'TOTAL TECHNOLOGIE'</t>
        </is>
      </c>
      <c r="F13" s="51" t="inlineStr">
        <is>
          <t xml:space="preserve"> = Cloud-Basis + AI/ML × MA-Anzahl + SaaS-Tools (phasenabhängig)</t>
        </is>
      </c>
      <c r="G13" s="51" t="inlineStr">
        <is>
          <t>€/Monat</t>
        </is>
      </c>
      <c r="H13" s="51" t="inlineStr">
        <is>
          <t>→ Teil von C13: 'Operating Cash Out'</t>
        </is>
      </c>
    </row>
    <row r="14" ht="45" customHeight="1">
      <c r="A14" s="46" t="inlineStr">
        <is>
          <t>Monthly</t>
        </is>
      </c>
      <c r="B14" s="47" t="inlineStr">
        <is>
          <t>Total OpEx €</t>
        </is>
      </c>
      <c r="C14" s="48" t="inlineStr">
        <is>
          <t>Gesamte operative Ausgaben (exkl. COGS): Personal, IT, Büro, Professional Services, Versicherungen, Marketing, Sonstiges.</t>
        </is>
      </c>
      <c r="D14" s="48" t="inlineStr">
        <is>
          <t>6_P&amp;L</t>
        </is>
      </c>
      <c r="E14" s="48" t="inlineStr">
        <is>
          <t>Zeile 27: 'TOTAL OPERATING EXPENSES'</t>
        </is>
      </c>
      <c r="F14" s="48" t="inlineStr">
        <is>
          <t xml:space="preserve"> = Personal + Technologie + Büro + Prof. Services + Versicherung + Marketing + Sonstiges</t>
        </is>
      </c>
      <c r="G14" s="48" t="inlineStr">
        <is>
          <t>€/Monat</t>
        </is>
      </c>
      <c r="H14" s="48" t="inlineStr">
        <is>
          <t>→ C13: 'Operating Cash Out (incl R&amp;D, upfront R&amp;D)'</t>
        </is>
      </c>
    </row>
    <row r="15" ht="45" customHeight="1">
      <c r="A15" s="49" t="inlineStr">
        <is>
          <t>Monthly</t>
        </is>
      </c>
      <c r="B15" s="50" t="inlineStr">
        <is>
          <t>EBITDA €</t>
        </is>
      </c>
      <c r="C15" s="51" t="inlineStr">
        <is>
          <t>Earnings Before Interest, Taxes, Depreciation &amp; Amortization. Wichtigster Profitabilitätsindikator im Modell.</t>
        </is>
      </c>
      <c r="D15" s="51" t="inlineStr">
        <is>
          <t>6_P&amp;L</t>
        </is>
      </c>
      <c r="E15" s="51" t="inlineStr">
        <is>
          <t>Zeile 29: 'EBITDA'</t>
        </is>
      </c>
      <c r="F15" s="51" t="inlineStr">
        <is>
          <t xml:space="preserve"> = Gross Profit − Total OpEx</t>
        </is>
      </c>
      <c r="G15" s="51" t="inlineStr">
        <is>
          <t>€/Monat</t>
        </is>
      </c>
      <c r="H15" s="51" t="inlineStr">
        <is>
          <t>Negativ in Frühphase (Investitionsphase), Trend zu 0 zeigt Skalierungseffekt</t>
        </is>
      </c>
    </row>
    <row r="16" ht="45" customHeight="1">
      <c r="A16" s="46" t="inlineStr">
        <is>
          <t>Monthly</t>
        </is>
      </c>
      <c r="B16" s="47" t="inlineStr">
        <is>
          <t>EBITDA Margin %</t>
        </is>
      </c>
      <c r="C16" s="48" t="inlineStr">
        <is>
          <t>EBITDA als Anteil am Umsatz. SaaS-Benchmark profitabler Scale-ups: &gt;20 %. Früh­phase: stark negativ.</t>
        </is>
      </c>
      <c r="D16" s="48" t="inlineStr">
        <is>
          <t>6_P&amp;L</t>
        </is>
      </c>
      <c r="E16" s="48" t="inlineStr">
        <is>
          <t>Berechnet aus Zeilen 29 + 8</t>
        </is>
      </c>
      <c r="F16" s="48" t="inlineStr">
        <is>
          <t xml:space="preserve"> = EBITDA / Total Revenue (bei Revenue = 0: 0 %)</t>
        </is>
      </c>
      <c r="G16" s="48" t="inlineStr">
        <is>
          <t>%</t>
        </is>
      </c>
      <c r="H16" s="48" t="inlineStr">
        <is>
          <t>Zeigt operative Hebelwirkung bei Umsatzwachstum</t>
        </is>
      </c>
    </row>
    <row r="17" ht="45" customHeight="1">
      <c r="A17" s="49" t="inlineStr">
        <is>
          <t>Monthly</t>
        </is>
      </c>
      <c r="B17" s="50" t="inlineStr">
        <is>
          <t>Equity-Zufluss €</t>
        </is>
      </c>
      <c r="C17" s="51" t="inlineStr">
        <is>
          <t>Im jeweiligen Monat eingegangene Eigenkapitalzahlungen (Investoren-Runden + Business Angels).</t>
        </is>
      </c>
      <c r="D17" s="51" t="inlineStr">
        <is>
          <t>7_BS_CF</t>
        </is>
      </c>
      <c r="E17" s="51" t="inlineStr">
        <is>
          <t>Zeile 9: 'Equity Funding Received'</t>
        </is>
      </c>
      <c r="F17" s="51" t="inlineStr">
        <is>
          <t xml:space="preserve"> = Summe aller Finanzierungsrunden, die in diesem Monat fließen (aus 2_Inputs)</t>
        </is>
      </c>
      <c r="G17" s="51" t="inlineStr">
        <is>
          <t>€/Monat</t>
        </is>
      </c>
      <c r="H17" s="51" t="inlineStr">
        <is>
          <t>→ C13: 'Other Cash In (equity, debt, grants)'</t>
        </is>
      </c>
    </row>
    <row r="18" ht="45" customHeight="1">
      <c r="A18" s="46" t="inlineStr">
        <is>
          <t>Monthly</t>
        </is>
      </c>
      <c r="B18" s="47" t="inlineStr">
        <is>
          <t>Eröffnungssaldo €</t>
        </is>
      </c>
      <c r="C18" s="48" t="inlineStr">
        <is>
          <t>Cash-Bestand zu Beginn des Monats (= Schlusssaldo des Vormonats).</t>
        </is>
      </c>
      <c r="D18" s="48" t="inlineStr">
        <is>
          <t>7_BS_CF</t>
        </is>
      </c>
      <c r="E18" s="48" t="inlineStr">
        <is>
          <t>Zeile 14: 'Beginning Cash Balance'</t>
        </is>
      </c>
      <c r="F18" s="48" t="inlineStr">
        <is>
          <t xml:space="preserve"> = Ending Cash[m-1]</t>
        </is>
      </c>
      <c r="G18" s="48" t="inlineStr">
        <is>
          <t>€</t>
        </is>
      </c>
      <c r="H18" s="48" t="inlineStr">
        <is>
          <t>→ C13: 'Opening Cash'</t>
        </is>
      </c>
    </row>
    <row r="19" ht="45" customHeight="1">
      <c r="A19" s="49" t="inlineStr">
        <is>
          <t>Monthly</t>
        </is>
      </c>
      <c r="B19" s="50" t="inlineStr">
        <is>
          <t>Schlussstand Cash €</t>
        </is>
      </c>
      <c r="C19" s="51" t="inlineStr">
        <is>
          <t>Liquiditätsbestand am Monatsende nach allen Ein- und Auszahlungen. Wichtigste Überlebensgröße.</t>
        </is>
      </c>
      <c r="D19" s="51" t="inlineStr">
        <is>
          <t>7_BS_CF</t>
        </is>
      </c>
      <c r="E19" s="51" t="inlineStr">
        <is>
          <t>Zeile 15: 'ENDING CASH BALANCE'</t>
        </is>
      </c>
      <c r="F19" s="51" t="inlineStr">
        <is>
          <t xml:space="preserve"> = Eröffnungssaldo + Revenue + Equity − COGS − OpEx − Steuern</t>
        </is>
      </c>
      <c r="G19" s="51" t="inlineStr">
        <is>
          <t>€</t>
        </is>
      </c>
      <c r="H19" s="51" t="inlineStr">
        <is>
          <t>→ C13: 'Closing Cash'. Negativ = Insolvenzrisiko (C13 Stress-Test)</t>
        </is>
      </c>
    </row>
    <row r="20" ht="45" customHeight="1">
      <c r="A20" s="46" t="inlineStr">
        <is>
          <t>Monthly</t>
        </is>
      </c>
      <c r="B20" s="47" t="inlineStr">
        <is>
          <t>Burn Rate €</t>
        </is>
      </c>
      <c r="C20" s="48" t="inlineStr">
        <is>
          <t>Monatlicher Netto-Cash-Abfluss. Relevant für Runway-Berechnung und Investoren-Kommunikation.</t>
        </is>
      </c>
      <c r="D20" s="48" t="inlineStr">
        <is>
          <t>7_BS_CF</t>
        </is>
      </c>
      <c r="E20" s="48" t="inlineStr">
        <is>
          <t>Zeile 18: 'Monthly Burn Rate'</t>
        </is>
      </c>
      <c r="F20" s="48" t="inlineStr">
        <is>
          <t xml:space="preserve"> = MAX(0, −NetChange in Cash) — nur positiv wenn Cash abnimmt</t>
        </is>
      </c>
      <c r="G20" s="48" t="inlineStr">
        <is>
          <t>€/Monat</t>
        </is>
      </c>
      <c r="H20" s="48" t="inlineStr">
        <is>
          <t>Gross Burn = COGS + OpEx | Net Burn = inkl. Revenue-Eingang</t>
        </is>
      </c>
    </row>
    <row r="21" ht="45" customHeight="1">
      <c r="A21" s="49" t="inlineStr">
        <is>
          <t>Monthly</t>
        </is>
      </c>
      <c r="B21" s="50" t="inlineStr">
        <is>
          <t>Runway (Monate)</t>
        </is>
      </c>
      <c r="C21" s="51" t="inlineStr">
        <is>
          <t>Wie viele Monate das Unternehmen mit dem aktuellen Cash-Bestand bei aktueller Burn Rate überleben kann.</t>
        </is>
      </c>
      <c r="D21" s="51" t="inlineStr">
        <is>
          <t>7_BS_CF</t>
        </is>
      </c>
      <c r="E21" s="51" t="inlineStr">
        <is>
          <t>Zeile 19: 'Runway (Months)'</t>
        </is>
      </c>
      <c r="F21" s="51" t="inlineStr">
        <is>
          <t xml:space="preserve"> = Closing Cash / Burn Rate (∞ wenn Burn Rate = 0 oder positiv)</t>
        </is>
      </c>
      <c r="G21" s="51" t="inlineStr">
        <is>
          <t>Monate</t>
        </is>
      </c>
      <c r="H21" s="51" t="inlineStr">
        <is>
          <t>&lt; 6 = Warnung (C13-Alert). Investor-kritische Kennzahl</t>
        </is>
      </c>
    </row>
    <row r="22" ht="45" customHeight="1">
      <c r="A22" s="46" t="inlineStr">
        <is>
          <t>Monthly</t>
        </is>
      </c>
      <c r="B22" s="47" t="inlineStr">
        <is>
          <t>Headcount</t>
        </is>
      </c>
      <c r="C22" s="48" t="inlineStr">
        <is>
          <t>Anzahl aktiver Mitarbeiter inkl. 3 Gründer. Basiert auf Einstellungsplan aus 2_Inputs.</t>
        </is>
      </c>
      <c r="D22" s="48" t="inlineStr">
        <is>
          <t>2_Inputs</t>
        </is>
      </c>
      <c r="E22" s="48" t="inlineStr">
        <is>
          <t>Zeilen 175–195: Einstellungsplan (JA-Positionen)</t>
        </is>
      </c>
      <c r="F22" s="48" t="inlineStr">
        <is>
          <t>3 Exec konstant + kumulierte JA-Einstellungen ab jeweiligem Eintrittsmonat</t>
        </is>
      </c>
      <c r="G22" s="48" t="inlineStr">
        <is>
          <t>Personen</t>
        </is>
      </c>
      <c r="H22" s="48" t="inlineStr">
        <is>
          <t>AI-First: HC wächst nicht linear mit Revenue</t>
        </is>
      </c>
    </row>
    <row r="23" ht="45" customHeight="1">
      <c r="A23" s="49" t="inlineStr">
        <is>
          <t>Monthly</t>
        </is>
      </c>
      <c r="B23" s="50" t="inlineStr">
        <is>
          <t>Kum. Eigenkapital €</t>
        </is>
      </c>
      <c r="C23" s="51" t="inlineStr">
        <is>
          <t>Summe aller Equity-Zuflüsse von M1 bis zum jeweiligen Monat (kumuliert).</t>
        </is>
      </c>
      <c r="D23" s="51" t="inlineStr">
        <is>
          <t>7_BS_CF</t>
        </is>
      </c>
      <c r="E23" s="51" t="inlineStr">
        <is>
          <t>Berechnet: Σ Equity Funding Received M1..m</t>
        </is>
      </c>
      <c r="F23" s="51" t="inlineStr">
        <is>
          <t xml:space="preserve"> = Σ equity_funding[0..m]</t>
        </is>
      </c>
      <c r="G23" s="51" t="inlineStr">
        <is>
          <t>€ kum.</t>
        </is>
      </c>
      <c r="H23" s="51" t="inlineStr">
        <is>
          <t>Zeigt gesamten Kapitaleinsatz der Investoren</t>
        </is>
      </c>
    </row>
    <row r="24" ht="45" customHeight="1">
      <c r="A24" s="46" t="inlineStr">
        <is>
          <t>Monthly</t>
        </is>
      </c>
      <c r="B24" s="47" t="inlineStr">
        <is>
          <t>Kum. Net Income €</t>
        </is>
      </c>
      <c r="C24" s="48" t="inlineStr">
        <is>
          <t>Kumulierter Gewinn/Verlust von M1 bis zum jeweiligen Monat. Zeigt Gesamtverlauf der Profitabilität.</t>
        </is>
      </c>
      <c r="D24" s="48" t="inlineStr">
        <is>
          <t>6_P&amp;L</t>
        </is>
      </c>
      <c r="E24" s="48" t="inlineStr">
        <is>
          <t>Berechnet: Σ NET INCOME M1..m (Zeile 37)</t>
        </is>
      </c>
      <c r="F24" s="48" t="inlineStr">
        <is>
          <t xml:space="preserve"> = Σ net_income[0..m]</t>
        </is>
      </c>
      <c r="G24" s="48" t="inlineStr">
        <is>
          <t>€ kum.</t>
        </is>
      </c>
      <c r="H24" s="48" t="inlineStr">
        <is>
          <t>Negativ = noch nicht profitabel; Trendwende zeigt Break-even</t>
        </is>
      </c>
    </row>
    <row r="25" ht="6" customHeight="1"/>
    <row r="26" ht="20" customHeight="1">
      <c r="A26" s="44" t="inlineStr">
        <is>
          <t>── ANNUAL ──</t>
        </is>
      </c>
      <c r="B26" s="45" t="n"/>
      <c r="C26" s="45" t="n"/>
      <c r="D26" s="45" t="n"/>
      <c r="E26" s="45" t="n"/>
      <c r="F26" s="45" t="n"/>
      <c r="G26" s="45" t="n"/>
      <c r="H26" s="45" t="n"/>
    </row>
    <row r="27" ht="45" customHeight="1">
      <c r="A27" s="49" t="inlineStr">
        <is>
          <t>Annual</t>
        </is>
      </c>
      <c r="B27" s="50" t="inlineStr">
        <is>
          <t>Jahr</t>
        </is>
      </c>
      <c r="C27" s="51" t="inlineStr">
        <is>
          <t>Kalenderjahr der aggregierten Projektion (2026 = Apr–Dez, 9 Monate; 2030 = Jan–Jul, 7 Monate).</t>
        </is>
      </c>
      <c r="D27" s="51" t="inlineStr">
        <is>
          <t>—</t>
        </is>
      </c>
      <c r="E27" s="51" t="inlineStr">
        <is>
          <t>Berechnet</t>
        </is>
      </c>
      <c r="F27" s="51" t="inlineStr">
        <is>
          <t>Jahresblöcke: 2026 M1–M9 | 2027 M10–M21 | 2028 M22–M33 | 2029 M34–M45 | 2030 M46–M52</t>
        </is>
      </c>
      <c r="G27" s="51" t="inlineStr">
        <is>
          <t>Jahr</t>
        </is>
      </c>
      <c r="H27" s="51" t="inlineStr">
        <is>
          <t>Basis für Investor-Reporting und Jahresabschluss</t>
        </is>
      </c>
    </row>
    <row r="28" ht="45" customHeight="1">
      <c r="A28" s="46" t="inlineStr">
        <is>
          <t>Annual</t>
        </is>
      </c>
      <c r="B28" s="47" t="inlineStr">
        <is>
          <t>Revenue €</t>
        </is>
      </c>
      <c r="C28" s="48" t="inlineStr">
        <is>
          <t>Summe aller monatlichen Umsätze des Jahres. Wichtigste Top-Line-Kennzahl.</t>
        </is>
      </c>
      <c r="D28" s="48" t="inlineStr">
        <is>
          <t>Monthly</t>
        </is>
      </c>
      <c r="E28" s="48" t="inlineStr">
        <is>
          <t>Σ Revenue über alle Monate des Jahres</t>
        </is>
      </c>
      <c r="F28" s="48" t="inlineStr">
        <is>
          <t xml:space="preserve"> = Σ total_revenue[s:e]</t>
        </is>
      </c>
      <c r="G28" s="48" t="inlineStr">
        <is>
          <t>€/Jahr</t>
        </is>
      </c>
      <c r="H28" s="48" t="inlineStr">
        <is>
          <t>→ C13: 'Revenue' (Jahresaggregat)</t>
        </is>
      </c>
    </row>
    <row r="29" ht="45" customHeight="1">
      <c r="A29" s="49" t="inlineStr">
        <is>
          <t>Annual</t>
        </is>
      </c>
      <c r="B29" s="50" t="inlineStr">
        <is>
          <t>COGS €</t>
        </is>
      </c>
      <c r="C29" s="51" t="inlineStr">
        <is>
          <t>Summe aller direkten Kosten des Jahres. Niedriger COGS-Anteil = hohes Skalierungspotenzial.</t>
        </is>
      </c>
      <c r="D29" s="51" t="inlineStr">
        <is>
          <t>Monthly</t>
        </is>
      </c>
      <c r="E29" s="51" t="inlineStr">
        <is>
          <t>Σ COGS über alle Monate des Jahres</t>
        </is>
      </c>
      <c r="F29" s="51" t="inlineStr">
        <is>
          <t xml:space="preserve"> = Σ total_cogs[s:e]</t>
        </is>
      </c>
      <c r="G29" s="51" t="inlineStr">
        <is>
          <t>€/Jahr</t>
        </is>
      </c>
      <c r="H29" s="51" t="inlineStr">
        <is>
          <t>→ C13: 'Cost of Revenue'</t>
        </is>
      </c>
    </row>
    <row r="30" ht="45" customHeight="1">
      <c r="A30" s="46" t="inlineStr">
        <is>
          <t>Annual</t>
        </is>
      </c>
      <c r="B30" s="47" t="inlineStr">
        <is>
          <t>Gross Profit €</t>
        </is>
      </c>
      <c r="C30" s="48" t="inlineStr">
        <is>
          <t>Jährlicher Rohertrag: Revenue minus COGS. Basis für alle weiteren Profitabilitätsberechnungen.</t>
        </is>
      </c>
      <c r="D30" s="48" t="inlineStr">
        <is>
          <t>Monthly</t>
        </is>
      </c>
      <c r="E30" s="48" t="inlineStr">
        <is>
          <t>Berechnet</t>
        </is>
      </c>
      <c r="F30" s="48" t="inlineStr">
        <is>
          <t xml:space="preserve"> = Σ Revenue − Σ COGS</t>
        </is>
      </c>
      <c r="G30" s="48" t="inlineStr">
        <is>
          <t>€/Jahr</t>
        </is>
      </c>
      <c r="H30" s="48" t="inlineStr">
        <is>
          <t>→ C13: 'Gross Profit'</t>
        </is>
      </c>
    </row>
    <row r="31" ht="45" customHeight="1">
      <c r="A31" s="49" t="inlineStr">
        <is>
          <t>Annual</t>
        </is>
      </c>
      <c r="B31" s="50" t="inlineStr">
        <is>
          <t>Gross Margin %</t>
        </is>
      </c>
      <c r="C31" s="51" t="inlineStr">
        <is>
          <t>Rohmarge: Anteil des Gross Profit am Jahresumsatz. SaaS-Reife ab ~70 %.</t>
        </is>
      </c>
      <c r="D31" s="51" t="inlineStr">
        <is>
          <t>Annual</t>
        </is>
      </c>
      <c r="E31" s="51" t="inlineStr">
        <is>
          <t>Berechnet</t>
        </is>
      </c>
      <c r="F31" s="51" t="inlineStr">
        <is>
          <t xml:space="preserve"> = Gross Profit / Revenue</t>
        </is>
      </c>
      <c r="G31" s="51" t="inlineStr">
        <is>
          <t>%</t>
        </is>
      </c>
      <c r="H31" s="51" t="inlineStr">
        <is>
          <t>Zeigt strukturelle Profitabilität des Geschäftsmodells</t>
        </is>
      </c>
    </row>
    <row r="32" ht="45" customHeight="1">
      <c r="A32" s="46" t="inlineStr">
        <is>
          <t>Annual</t>
        </is>
      </c>
      <c r="B32" s="47" t="inlineStr">
        <is>
          <t>Total OpEx €</t>
        </is>
      </c>
      <c r="C32" s="48" t="inlineStr">
        <is>
          <t>Gesamte jährliche operative Kosten. Wächst langsamer als Revenue = operative Skalierung.</t>
        </is>
      </c>
      <c r="D32" s="48" t="inlineStr">
        <is>
          <t>Monthly</t>
        </is>
      </c>
      <c r="E32" s="48" t="inlineStr">
        <is>
          <t>Σ Total OpEx über alle Monate des Jahres</t>
        </is>
      </c>
      <c r="F32" s="48" t="inlineStr">
        <is>
          <t xml:space="preserve"> = Σ total_opex[s:e] (Personal + IT + Büro + Prof.Services + Vers. + Mktg + Sonstiges)</t>
        </is>
      </c>
      <c r="G32" s="48" t="inlineStr">
        <is>
          <t>€/Jahr</t>
        </is>
      </c>
      <c r="H32" s="48" t="inlineStr">
        <is>
          <t>→ C13: 'Total Opex (incl R&amp;D amort)'</t>
        </is>
      </c>
    </row>
    <row r="33" ht="45" customHeight="1">
      <c r="A33" s="49" t="inlineStr">
        <is>
          <t>Annual</t>
        </is>
      </c>
      <c r="B33" s="50" t="inlineStr">
        <is>
          <t>EBITDA €</t>
        </is>
      </c>
      <c r="C33" s="51" t="inlineStr">
        <is>
          <t>Operative Ertragskraft des Jahres. Hauptindikator für Investoren zur Bewertung der Skalierung.</t>
        </is>
      </c>
      <c r="D33" s="51" t="inlineStr">
        <is>
          <t>Monthly</t>
        </is>
      </c>
      <c r="E33" s="51" t="inlineStr">
        <is>
          <t>Σ EBITDA über alle Monate des Jahres</t>
        </is>
      </c>
      <c r="F33" s="51" t="inlineStr">
        <is>
          <t xml:space="preserve"> = Gross Profit − Total OpEx</t>
        </is>
      </c>
      <c r="G33" s="51" t="inlineStr">
        <is>
          <t>€/Jahr</t>
        </is>
      </c>
      <c r="H33" s="51" t="inlineStr">
        <is>
          <t>→ C13: 'EBIT' (da keine D&amp;A separat modelliert)</t>
        </is>
      </c>
    </row>
    <row r="34" ht="45" customHeight="1">
      <c r="A34" s="46" t="inlineStr">
        <is>
          <t>Annual</t>
        </is>
      </c>
      <c r="B34" s="47" t="inlineStr">
        <is>
          <t>Net Profit €</t>
        </is>
      </c>
      <c r="C34" s="48" t="inlineStr">
        <is>
          <t>Jahresüberschuss nach Steuern. Positiv = Break-even erreicht. Im Modell = EBITDA (keine Steuern in Verlustjahren).</t>
        </is>
      </c>
      <c r="D34" s="48" t="inlineStr">
        <is>
          <t>Monthly</t>
        </is>
      </c>
      <c r="E34" s="48" t="inlineStr">
        <is>
          <t>Σ NET INCOME über alle Monate (Zeile 37 P&amp;L)</t>
        </is>
      </c>
      <c r="F34" s="48" t="inlineStr">
        <is>
          <t xml:space="preserve"> = Σ net_income[s:e]</t>
        </is>
      </c>
      <c r="G34" s="48" t="inlineStr">
        <is>
          <t>€/Jahr</t>
        </is>
      </c>
      <c r="H34" s="48" t="inlineStr">
        <is>
          <t>→ C13: 'Net Profit'</t>
        </is>
      </c>
    </row>
    <row r="35" ht="45" customHeight="1">
      <c r="A35" s="49" t="inlineStr">
        <is>
          <t>Annual</t>
        </is>
      </c>
      <c r="B35" s="50" t="inlineStr">
        <is>
          <t>Min. Cash-Stand €</t>
        </is>
      </c>
      <c r="C35" s="51" t="inlineStr">
        <is>
          <t>Niedrigster Liquiditätsstand im Jahr. Wichtigster Risiko-Indikator (C13: 'Lowest Cash Balance').</t>
        </is>
      </c>
      <c r="D35" s="51" t="inlineStr">
        <is>
          <t>Monthly</t>
        </is>
      </c>
      <c r="E35" s="51" t="inlineStr">
        <is>
          <t>MIN(Closing Cash aller Monate des Jahres)</t>
        </is>
      </c>
      <c r="F35" s="51" t="inlineStr">
        <is>
          <t xml:space="preserve"> = min(ending_cash[s:e])</t>
        </is>
      </c>
      <c r="G35" s="51" t="inlineStr">
        <is>
          <t>€</t>
        </is>
      </c>
      <c r="H35" s="51" t="inlineStr">
        <is>
          <t>→ C13: 'Min Cash'. Negativ = Insolvenzrisiko im Jahresverlauf</t>
        </is>
      </c>
    </row>
    <row r="36" ht="45" customHeight="1">
      <c r="A36" s="46" t="inlineStr">
        <is>
          <t>Annual</t>
        </is>
      </c>
      <c r="B36" s="47" t="inlineStr">
        <is>
          <t>Ø Monatl. Burn €</t>
        </is>
      </c>
      <c r="C36" s="48" t="inlineStr">
        <is>
          <t>Durchschnittlicher monatlicher Cash-Abfluss (Gross Burn). Basis für Runway-Planung.</t>
        </is>
      </c>
      <c r="D36" s="48" t="inlineStr">
        <is>
          <t>Monthly</t>
        </is>
      </c>
      <c r="E36" s="48" t="inlineStr">
        <is>
          <t>Berechnet aus COGS + OpEx</t>
        </is>
      </c>
      <c r="F36" s="48" t="inlineStr">
        <is>
          <t xml:space="preserve"> = Σ(COGS + OpEx) / Anzahl Monate im Jahr</t>
        </is>
      </c>
      <c r="G36" s="48" t="inlineStr">
        <is>
          <t>€/Monat</t>
        </is>
      </c>
      <c r="H36" s="48" t="inlineStr">
        <is>
          <t>→ C13: 'Avg Monthly Gross Burn (cash)'</t>
        </is>
      </c>
    </row>
    <row r="37" ht="45" customHeight="1">
      <c r="A37" s="49" t="inlineStr">
        <is>
          <t>Annual</t>
        </is>
      </c>
      <c r="B37" s="50" t="inlineStr">
        <is>
          <t>Cash Jahresende €</t>
        </is>
      </c>
      <c r="C37" s="51" t="inlineStr">
        <is>
          <t>Liquiditätsbestand am letzten Monat des Jahres (Dezember bzw. letzter Monat bei unvollständigem Jahr).</t>
        </is>
      </c>
      <c r="D37" s="51" t="inlineStr">
        <is>
          <t>Monthly</t>
        </is>
      </c>
      <c r="E37" s="51" t="inlineStr">
        <is>
          <t>Closing Cash des letzten Monats im Jahr</t>
        </is>
      </c>
      <c r="F37" s="51" t="inlineStr">
        <is>
          <t xml:space="preserve"> = ending_cash[e-1]</t>
        </is>
      </c>
      <c r="G37" s="51" t="inlineStr">
        <is>
          <t>€</t>
        </is>
      </c>
      <c r="H37" s="51" t="inlineStr">
        <is>
          <t>→ C13: 'Cash (year-end)'</t>
        </is>
      </c>
    </row>
    <row r="38" ht="45" customHeight="1">
      <c r="A38" s="46" t="inlineStr">
        <is>
          <t>Annual</t>
        </is>
      </c>
      <c r="B38" s="47" t="inlineStr">
        <is>
          <t>Eigenkapital kum. €</t>
        </is>
      </c>
      <c r="C38" s="48" t="inlineStr">
        <is>
          <t>Gesamtes bis Jahresende eingeflossenes Eigenkapital (alle Runden kumuliert).</t>
        </is>
      </c>
      <c r="D38" s="48" t="inlineStr">
        <is>
          <t>Monthly</t>
        </is>
      </c>
      <c r="E38" s="48" t="inlineStr">
        <is>
          <t>Σ Equity-Zufluss M1 bis Jahresende</t>
        </is>
      </c>
      <c r="F38" s="48" t="inlineStr">
        <is>
          <t xml:space="preserve"> = Σ equity_funding[0..e]</t>
        </is>
      </c>
      <c r="G38" s="48" t="inlineStr">
        <is>
          <t>€ kum.</t>
        </is>
      </c>
      <c r="H38" s="48" t="inlineStr">
        <is>
          <t>→ C13: 'Total Equity Investment'</t>
        </is>
      </c>
    </row>
    <row r="39" ht="45" customHeight="1">
      <c r="A39" s="49" t="inlineStr">
        <is>
          <t>Annual</t>
        </is>
      </c>
      <c r="B39" s="50" t="inlineStr">
        <is>
          <t>Net Income kum. €</t>
        </is>
      </c>
      <c r="C39" s="51" t="inlineStr">
        <is>
          <t>Gesamtgewinn/-verlust von M1 bis Jahresende. Zeigt Gesamtkapitalbedarf.</t>
        </is>
      </c>
      <c r="D39" s="51" t="inlineStr">
        <is>
          <t>Monthly</t>
        </is>
      </c>
      <c r="E39" s="51" t="inlineStr">
        <is>
          <t>Σ Net Income M1 bis Jahresende</t>
        </is>
      </c>
      <c r="F39" s="51" t="inlineStr">
        <is>
          <t xml:space="preserve"> = Σ net_income[0..e]</t>
        </is>
      </c>
      <c r="G39" s="51" t="inlineStr">
        <is>
          <t>€ kum.</t>
        </is>
      </c>
      <c r="H39" s="51" t="inlineStr">
        <is>
          <t>→ C13: 'Cumulative Profit'</t>
        </is>
      </c>
    </row>
    <row r="40" ht="45" customHeight="1">
      <c r="A40" s="46" t="inlineStr">
        <is>
          <t>Annual</t>
        </is>
      </c>
      <c r="B40" s="47" t="inlineStr">
        <is>
          <t>Quick Ratio</t>
        </is>
      </c>
      <c r="C40" s="48" t="inlineStr">
        <is>
          <t>Liquiditätskennzahl: Cash / Verbindlichkeiten. &gt;1 = liquide. &lt; 1 = Zahlungsrisiko.</t>
        </is>
      </c>
      <c r="D40" s="48" t="inlineStr">
        <is>
          <t>Annual</t>
        </is>
      </c>
      <c r="E40" s="48" t="inlineStr">
        <is>
          <t>Berechnet</t>
        </is>
      </c>
      <c r="F40" s="48" t="inlineStr">
        <is>
          <t xml:space="preserve"> = Cash Jahresende / Kreditoren (= 10 % der Jahreskosten anteilig)</t>
        </is>
      </c>
      <c r="G40" s="48" t="inlineStr">
        <is>
          <t>Ratio</t>
        </is>
      </c>
      <c r="H40" s="48" t="inlineStr">
        <is>
          <t>→ C13: 'Quick Ratio'. Investor-Sicherheitskennzahl</t>
        </is>
      </c>
    </row>
    <row r="41" ht="6" customHeight="1"/>
    <row r="42" ht="20" customHeight="1">
      <c r="A42" s="44" t="inlineStr">
        <is>
          <t>── BALANCESHEET ──</t>
        </is>
      </c>
      <c r="B42" s="45" t="n"/>
      <c r="C42" s="45" t="n"/>
      <c r="D42" s="45" t="n"/>
      <c r="E42" s="45" t="n"/>
      <c r="F42" s="45" t="n"/>
      <c r="G42" s="45" t="n"/>
      <c r="H42" s="45" t="n"/>
    </row>
    <row r="43" ht="45" customHeight="1">
      <c r="A43" s="49" t="inlineStr">
        <is>
          <t>BalanceSheet</t>
        </is>
      </c>
      <c r="B43" s="50" t="inlineStr">
        <is>
          <t>Cash €</t>
        </is>
      </c>
      <c r="C43" s="51" t="inlineStr">
        <is>
          <t>Zahlungsmittelbestand zum Jahresende (= Closing Cash des letzten Monats im Jahr).</t>
        </is>
      </c>
      <c r="D43" s="51" t="inlineStr">
        <is>
          <t>Monthly</t>
        </is>
      </c>
      <c r="E43" s="51" t="inlineStr">
        <is>
          <t>Closing Cash des Jahresabschlussmonats</t>
        </is>
      </c>
      <c r="F43" s="51" t="inlineStr">
        <is>
          <t xml:space="preserve"> = ending_cash[Jahr_Ende]</t>
        </is>
      </c>
      <c r="G43" s="51" t="inlineStr">
        <is>
          <t>€</t>
        </is>
      </c>
      <c r="H43" s="51" t="inlineStr">
        <is>
          <t>→ C13: 'Cash'. Wichtigste Aktiv-Position</t>
        </is>
      </c>
    </row>
    <row r="44" ht="45" customHeight="1">
      <c r="A44" s="46" t="inlineStr">
        <is>
          <t>BalanceSheet</t>
        </is>
      </c>
      <c r="B44" s="47" t="inlineStr">
        <is>
          <t>Debitoren €</t>
        </is>
      </c>
      <c r="C44" s="48" t="inlineStr">
        <is>
          <t>Ausstehende Kundenforderungen: Umsätze, die in Rechnung gestellt aber noch nicht bezahlt wurden.</t>
        </is>
      </c>
      <c r="D44" s="48" t="inlineStr">
        <is>
          <t>Annual</t>
        </is>
      </c>
      <c r="E44" s="48" t="inlineStr">
        <is>
          <t>Revenue des letzten Monats im Jahr</t>
        </is>
      </c>
      <c r="F44" s="48" t="inlineStr">
        <is>
          <t xml:space="preserve"> = total_revenue[Jahr_Ende] (1 Monat ausstehend)</t>
        </is>
      </c>
      <c r="G44" s="48" t="inlineStr">
        <is>
          <t>€</t>
        </is>
      </c>
      <c r="H44" s="48" t="inlineStr">
        <is>
          <t>→ C13: 'Debtors'. Zeigt Forderungsbestand</t>
        </is>
      </c>
    </row>
    <row r="45" ht="45" customHeight="1">
      <c r="A45" s="49" t="inlineStr">
        <is>
          <t>BalanceSheet</t>
        </is>
      </c>
      <c r="B45" s="50" t="inlineStr">
        <is>
          <t>R&amp;D Immateriel €</t>
        </is>
      </c>
      <c r="C45" s="51" t="inlineStr">
        <is>
          <t>Aktivierte Entwicklungskosten: Software-Entwicklung als immaterieller Vermögenswert (10 Jahre Abschreibung).</t>
        </is>
      </c>
      <c r="D45" s="51" t="inlineStr">
        <is>
          <t>—</t>
        </is>
      </c>
      <c r="E45" s="51" t="inlineStr">
        <is>
          <t>Nicht modelliert (0 €)</t>
        </is>
      </c>
      <c r="F45" s="51" t="inlineStr">
        <is>
          <t>Alle R&amp;D-Kosten laufen durch OpEx. Empfehlung: Einmalige Entwicklungskosten hier aktivieren.</t>
        </is>
      </c>
      <c r="G45" s="51" t="inlineStr">
        <is>
          <t>€</t>
        </is>
      </c>
      <c r="H45" s="51" t="inlineStr">
        <is>
          <t>→ C13: 'R&amp;D Intangible'. Optimierungspotenzial für EBIT-Darstellung</t>
        </is>
      </c>
    </row>
    <row r="46" ht="45" customHeight="1">
      <c r="A46" s="46" t="inlineStr">
        <is>
          <t>BalanceSheet</t>
        </is>
      </c>
      <c r="B46" s="47" t="inlineStr">
        <is>
          <t>Kreditoren €</t>
        </is>
      </c>
      <c r="C46" s="48" t="inlineStr">
        <is>
          <t>Ausstehende Verbindlichkeiten gegenüber Lieferanten: Kosten, die angefallen aber noch nicht bezahlt wurden.</t>
        </is>
      </c>
      <c r="D46" s="48" t="inlineStr">
        <is>
          <t>Monthly</t>
        </is>
      </c>
      <c r="E46" s="48" t="inlineStr">
        <is>
          <t>Berechnet: 10 % der (COGS + OpEx) des Jahresabschlussmonats</t>
        </is>
      </c>
      <c r="F46" s="48" t="inlineStr">
        <is>
          <t xml:space="preserve"> = (total_cogs[e-1] + total_opex[e-1]) × 10 %</t>
        </is>
      </c>
      <c r="G46" s="48" t="inlineStr">
        <is>
          <t>€</t>
        </is>
      </c>
      <c r="H46" s="48" t="inlineStr">
        <is>
          <t>→ C13: 'Creditors'. Passiv-Position, typisch 1 Monat Zahlungsziel</t>
        </is>
      </c>
    </row>
    <row r="47" ht="45" customHeight="1">
      <c r="A47" s="49" t="inlineStr">
        <is>
          <t>BalanceSheet</t>
        </is>
      </c>
      <c r="B47" s="50" t="inlineStr">
        <is>
          <t>Fremdkapital €</t>
        </is>
      </c>
      <c r="C47" s="51" t="inlineStr">
        <is>
          <t>Ausstehende Kreditverbindlichkeiten (Bankdarlehen, Wandeldarlehen). Im Modell: 0 €.</t>
        </is>
      </c>
      <c r="D47" s="51" t="inlineStr">
        <is>
          <t>—</t>
        </is>
      </c>
      <c r="E47" s="51" t="inlineStr">
        <is>
          <t>Nicht modelliert (0 €)</t>
        </is>
      </c>
      <c r="F47" s="51" t="inlineStr">
        <is>
          <t>Kein Fremdkapital im Basismodell. Erweiterbar bei Venture Debt.</t>
        </is>
      </c>
      <c r="G47" s="51" t="inlineStr">
        <is>
          <t>€</t>
        </is>
      </c>
      <c r="H47" s="51" t="inlineStr">
        <is>
          <t>→ C13: 'Debt'. Bei 0 = reine Eigenkapitalfinanzierung</t>
        </is>
      </c>
    </row>
    <row r="48" ht="45" customHeight="1">
      <c r="A48" s="46" t="inlineStr">
        <is>
          <t>BalanceSheet</t>
        </is>
      </c>
      <c r="B48" s="47" t="inlineStr">
        <is>
          <t>Net Assets €</t>
        </is>
      </c>
      <c r="C48" s="48" t="inlineStr">
        <is>
          <t>Nettovermögen: Gesamtvermögen minus Verbindlichkeiten. Vereinfacht = Eigenkapital der Gesellschaft.</t>
        </is>
      </c>
      <c r="D48" s="48" t="inlineStr">
        <is>
          <t>BalanceSheet</t>
        </is>
      </c>
      <c r="E48" s="48" t="inlineStr">
        <is>
          <t>Berechnet</t>
        </is>
      </c>
      <c r="F48" s="48" t="inlineStr">
        <is>
          <t xml:space="preserve"> = Cash + Debitoren + R&amp;D − Kreditoren − Fremdkapital</t>
        </is>
      </c>
      <c r="G48" s="48" t="inlineStr">
        <is>
          <t>€</t>
        </is>
      </c>
      <c r="H48" s="48" t="inlineStr">
        <is>
          <t>→ C13: 'Net Assets'. Zeigt Substanzwert</t>
        </is>
      </c>
    </row>
    <row r="49" ht="45" customHeight="1">
      <c r="A49" s="49" t="inlineStr">
        <is>
          <t>BalanceSheet</t>
        </is>
      </c>
      <c r="B49" s="50" t="inlineStr">
        <is>
          <t>Ges. EK-Investment €</t>
        </is>
      </c>
      <c r="C49" s="51" t="inlineStr">
        <is>
          <t>Gesamtes eingezahltes Eigenkapital aller Investoren von Gründung bis Jahresende.</t>
        </is>
      </c>
      <c r="D49" s="51" t="inlineStr">
        <is>
          <t>Monthly</t>
        </is>
      </c>
      <c r="E49" s="51" t="inlineStr">
        <is>
          <t>Σ Equity-Zuflüsse kumuliert bis Jahresende</t>
        </is>
      </c>
      <c r="F49" s="51" t="inlineStr">
        <is>
          <t xml:space="preserve"> = Σ equity_funding[0..Jahr_Ende]</t>
        </is>
      </c>
      <c r="G49" s="51" t="inlineStr">
        <is>
          <t>€ kum.</t>
        </is>
      </c>
      <c r="H49" s="51" t="inlineStr">
        <is>
          <t>→ C13: 'Total Equity Investment'</t>
        </is>
      </c>
    </row>
    <row r="50" ht="45" customHeight="1">
      <c r="A50" s="46" t="inlineStr">
        <is>
          <t>BalanceSheet</t>
        </is>
      </c>
      <c r="B50" s="47" t="inlineStr">
        <is>
          <t>Kum. Net Income €</t>
        </is>
      </c>
      <c r="C50" s="48" t="inlineStr">
        <is>
          <t>Kumulierter Gewinn/Verlust seit Gründung bis Jahresende. Zeigt Gesamtverlust der Investitionsphase.</t>
        </is>
      </c>
      <c r="D50" s="48" t="inlineStr">
        <is>
          <t>Monthly</t>
        </is>
      </c>
      <c r="E50" s="48" t="inlineStr">
        <is>
          <t>Σ Net Income kumuliert bis Jahresende</t>
        </is>
      </c>
      <c r="F50" s="48" t="inlineStr">
        <is>
          <t xml:space="preserve"> = Σ net_income[0..Jahr_Ende]</t>
        </is>
      </c>
      <c r="G50" s="48" t="inlineStr">
        <is>
          <t>€ kum.</t>
        </is>
      </c>
      <c r="H50" s="48" t="inlineStr">
        <is>
          <t>→ C13: 'Cumulative Profit'. Negativ = noch nicht amortisiert</t>
        </is>
      </c>
    </row>
    <row r="51" ht="45" customHeight="1">
      <c r="A51" s="49" t="inlineStr">
        <is>
          <t>BalanceSheet</t>
        </is>
      </c>
      <c r="B51" s="50" t="inlineStr">
        <is>
          <t>Quick Ratio</t>
        </is>
      </c>
      <c r="C51" s="51" t="inlineStr">
        <is>
          <t>Kurzfristige Liquiditätskennzahl: Verhältnis von Cash zu kurzfristigen Verbindlichkeiten.</t>
        </is>
      </c>
      <c r="D51" s="51" t="inlineStr">
        <is>
          <t>BalanceSheet</t>
        </is>
      </c>
      <c r="E51" s="51" t="inlineStr">
        <is>
          <t>Berechnet</t>
        </is>
      </c>
      <c r="F51" s="51" t="inlineStr">
        <is>
          <t xml:space="preserve"> = Cash / Kreditoren (bei Kreditoren = 0: Quick Ratio = 0)</t>
        </is>
      </c>
      <c r="G51" s="51" t="inlineStr">
        <is>
          <t>Ratio</t>
        </is>
      </c>
      <c r="H51" s="51" t="inlineStr">
        <is>
          <t>→ C13: 'Quick Ratio'. &gt;1 empfohlen für Zahlungssicherheit</t>
        </is>
      </c>
    </row>
  </sheetData>
  <mergeCells count="2">
    <mergeCell ref="A1:B1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LoopforgeLab – Claude Code</dc:creator>
  <dc:title>LFL Financial Projections C13-Format v2</dc:title>
  <dc:description>Erstellt aus 260312_LFL_BM_Vorlage_v19.xlsx | Mapping: Data Merge C13 Template | 13.03.2026</dc:description>
  <dc:subject>52-Monats-Finanzplan (Apr 2026 – Jul 2030)</dc:subject>
  <dcterms:created xsi:type="dcterms:W3CDTF">2026-03-13T14:58:49Z</dcterms:created>
  <dcterms:modified xsi:type="dcterms:W3CDTF">2026-03-13T14:58:49Z</dcterms:modified>
</cp:coreProperties>
</file>